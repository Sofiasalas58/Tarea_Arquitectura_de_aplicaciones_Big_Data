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arametros" sheetId="2" r:id="rId1"/>
    <sheet name="Estructura_hojas" sheetId="3" r:id="rId2"/>
    <sheet name="Diccionario_datos" sheetId="4" r:id="rId3"/>
    <sheet name="Tabla_lecturas_seccion5" sheetId="5" r:id="rId4"/>
    <sheet name="Calculos_almacenamiento" sheetId="6" r:id="rId5"/>
    <sheet name="Limpieza_almacenamiento" sheetId="7" r:id="rId6"/>
    <sheet name="Clasificacion_ppm" sheetId="8" r:id="rId7"/>
    <sheet name="Dashboard_diseno" sheetId="9" r:id="rId8"/>
    <sheet name="Gobierno_datos" sheetId="10" r:id="rId9"/>
    <sheet name="Elementos_proyecto" sheetId="11" r:id="rId10"/>
    <sheet name="Checklist_proyecto" sheetId="12" r:id="rId11"/>
    <sheet name="Scripts_SQL" sheetId="13" r:id="rId12"/>
    <sheet name="lecturas_ejemplo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<sst xmlns="http://schemas.openxmlformats.org/spreadsheetml/2006/main" count="929" uniqueCount="514">
  <si>
    <t>PARÁMETROS DEL CASO</t>
  </si>
  <si>
    <t>Parámetro</t>
  </si>
  <si>
    <t>Símbolo</t>
  </si>
  <si>
    <t>Valor</t>
  </si>
  <si>
    <t>Unidad</t>
  </si>
  <si>
    <t>Descripción</t>
  </si>
  <si>
    <t>Fábricas</t>
  </si>
  <si>
    <t>P</t>
  </si>
  <si>
    <t>und</t>
  </si>
  <si>
    <t>A, B, C</t>
  </si>
  <si>
    <t>Líneas por fábrica</t>
  </si>
  <si>
    <t>L</t>
  </si>
  <si>
    <t/>
  </si>
  <si>
    <t>Microcontroladores por línea</t>
  </si>
  <si>
    <t>M</t>
  </si>
  <si>
    <t>ESP8266</t>
  </si>
  <si>
    <t>Sensores por línea</t>
  </si>
  <si>
    <t>S</t>
  </si>
  <si>
    <t>MQ-135 benceno</t>
  </si>
  <si>
    <t>Intervalo de lectura</t>
  </si>
  <si>
    <t>T</t>
  </si>
  <si>
    <t>seg</t>
  </si>
  <si>
    <t>1 lectura cada 10 s</t>
  </si>
  <si>
    <t>Lecturas por minuto</t>
  </si>
  <si>
    <t>RPM</t>
  </si>
  <si>
    <t>und/min</t>
  </si>
  <si>
    <t>Bytes por registro JSON</t>
  </si>
  <si>
    <t>B</t>
  </si>
  <si>
    <t>bytes</t>
  </si>
  <si>
    <t>Transmisión API HTTP a nube</t>
  </si>
  <si>
    <t>Bytes registro PostgreSQL</t>
  </si>
  <si>
    <t>B_PG</t>
  </si>
  <si>
    <t>Tabla lecturas + PostGIS (§5)</t>
  </si>
  <si>
    <t>Bytes registro ESP8266 CSV</t>
  </si>
  <si>
    <t>B_ESP</t>
  </si>
  <si>
    <t>Formato compacto en MCU</t>
  </si>
  <si>
    <t>SPIFFS disponible ESP8266</t>
  </si>
  <si>
    <t>SPIFFS</t>
  </si>
  <si>
    <t>~1 MB</t>
  </si>
  <si>
    <t>Límite filas Excel .xlsx</t>
  </si>
  <si>
    <t>MAX_XLSX</t>
  </si>
  <si>
    <t>filas</t>
  </si>
  <si>
    <t>Retención BD local</t>
  </si>
  <si>
    <t>RET_LOC</t>
  </si>
  <si>
    <t>días</t>
  </si>
  <si>
    <t>Retención BD nube</t>
  </si>
  <si>
    <t>RET_NUB</t>
  </si>
  <si>
    <t>Factor compresión Parquet S3</t>
  </si>
  <si>
    <t>COMP</t>
  </si>
  <si>
    <t>ratio</t>
  </si>
  <si>
    <t>Tamaño EBS recomendado</t>
  </si>
  <si>
    <t>EBS_GB</t>
  </si>
  <si>
    <t>GB</t>
  </si>
  <si>
    <t>ESTRUCTURA DE HOJAS DE CÁLCULO</t>
  </si>
  <si>
    <t>A) Hoja lecturas-sensor (80 por fábrica, en ESP8266)</t>
  </si>
  <si>
    <t>#</t>
  </si>
  <si>
    <t>Columna</t>
  </si>
  <si>
    <t>Tipo dato</t>
  </si>
  <si>
    <t>Longitud</t>
  </si>
  <si>
    <t>Obligatorio</t>
  </si>
  <si>
    <t>Ejemplo</t>
  </si>
  <si>
    <t>ppm_benceno</t>
  </si>
  <si>
    <t>NUMERIC</t>
  </si>
  <si>
    <t>10,4</t>
  </si>
  <si>
    <t>Sí</t>
  </si>
  <si>
    <t>0.42</t>
  </si>
  <si>
    <t>Concentración benceno en ppm</t>
  </si>
  <si>
    <t>fecha</t>
  </si>
  <si>
    <t>DATE</t>
  </si>
  <si>
    <t>10</t>
  </si>
  <si>
    <t>2026-05-17</t>
  </si>
  <si>
    <t>AAAA-MM-DD</t>
  </si>
  <si>
    <t>hora</t>
  </si>
  <si>
    <t>TIME</t>
  </si>
  <si>
    <t>8</t>
  </si>
  <si>
    <t>14:30:10</t>
  </si>
  <si>
    <t>HH:MM:SS</t>
  </si>
  <si>
    <t>id_sensor</t>
  </si>
  <si>
    <t>VARCHAR</t>
  </si>
  <si>
    <t>A1S01</t>
  </si>
  <si>
    <t>Sensor en MCU A1M01</t>
  </si>
  <si>
    <t>id_linea</t>
  </si>
  <si>
    <t>5</t>
  </si>
  <si>
    <t>A1</t>
  </si>
  <si>
    <t>Línea de producción</t>
  </si>
  <si>
    <t>id_fabrica</t>
  </si>
  <si>
    <t>CHAR</t>
  </si>
  <si>
    <t>1</t>
  </si>
  <si>
    <t>A</t>
  </si>
  <si>
    <t>Fábrica A, B o C</t>
  </si>
  <si>
    <t>latitud</t>
  </si>
  <si>
    <t>DECIMAL</t>
  </si>
  <si>
    <t>10,6</t>
  </si>
  <si>
    <t>6.244203</t>
  </si>
  <si>
    <t>WGS84</t>
  </si>
  <si>
    <t>longitud</t>
  </si>
  <si>
    <t>-75.581211</t>
  </si>
  <si>
    <t>id_microcontrolador</t>
  </si>
  <si>
    <t>No</t>
  </si>
  <si>
    <t>A1M01</t>
  </si>
  <si>
    <t>ESP8266 origen</t>
  </si>
  <si>
    <t>nivel_alarma</t>
  </si>
  <si>
    <t>20</t>
  </si>
  <si>
    <t>NORMAL</t>
  </si>
  <si>
    <t>Según Anexo A</t>
  </si>
  <si>
    <t>B) Hoja lecturas-fabrica (1 por fábrica, servidor local)</t>
  </si>
  <si>
    <t>1.25</t>
  </si>
  <si>
    <t>Promedio o lectura consolidada</t>
  </si>
  <si>
    <t>Origen sensor</t>
  </si>
  <si>
    <t>turno</t>
  </si>
  <si>
    <t>INT</t>
  </si>
  <si>
    <t>1=8-16h, 2=16-24h, 3=0-8h</t>
  </si>
  <si>
    <t>id_clasificacion</t>
  </si>
  <si>
    <t>2</t>
  </si>
  <si>
    <t>FK clasificacion_ppm</t>
  </si>
  <si>
    <t>DICCIONARIO DE DATOS</t>
  </si>
  <si>
    <t>Entidad/Tabla</t>
  </si>
  <si>
    <t>Atributo</t>
  </si>
  <si>
    <t>Tipo</t>
  </si>
  <si>
    <t>PK/FK</t>
  </si>
  <si>
    <t>Nulo</t>
  </si>
  <si>
    <t>Origen</t>
  </si>
  <si>
    <t>fabricas</t>
  </si>
  <si>
    <t>CHAR(1)</t>
  </si>
  <si>
    <t>PK</t>
  </si>
  <si>
    <t>Identificador fábrica</t>
  </si>
  <si>
    <t>Config</t>
  </si>
  <si>
    <t>nombre</t>
  </si>
  <si>
    <t>VARCHAR(50)</t>
  </si>
  <si>
    <t>Nombre planta</t>
  </si>
  <si>
    <t>Fábrica A</t>
  </si>
  <si>
    <t>ubicacion</t>
  </si>
  <si>
    <t>GEOGRAPHY</t>
  </si>
  <si>
    <t>PostGIS punto</t>
  </si>
  <si>
    <t>GPS</t>
  </si>
  <si>
    <t>POINT(...)</t>
  </si>
  <si>
    <t>lineas_produccion</t>
  </si>
  <si>
    <t>VARCHAR(5)</t>
  </si>
  <si>
    <t>Ej. A1</t>
  </si>
  <si>
    <t>FK</t>
  </si>
  <si>
    <t>Fábrica</t>
  </si>
  <si>
    <t>sensores</t>
  </si>
  <si>
    <t>VARCHAR(10)</t>
  </si>
  <si>
    <t>Ej. A1S01</t>
  </si>
  <si>
    <t>Hardware</t>
  </si>
  <si>
    <t>Línea</t>
  </si>
  <si>
    <t>lecturas</t>
  </si>
  <si>
    <t>id_lectura</t>
  </si>
  <si>
    <t>BIGSERIAL</t>
  </si>
  <si>
    <t>Autonumérico</t>
  </si>
  <si>
    <t>Sistema</t>
  </si>
  <si>
    <t>1001</t>
  </si>
  <si>
    <t>NUMERIC(10,4)</t>
  </si>
  <si>
    <t>Concentración ppm</t>
  </si>
  <si>
    <t>MQ-135</t>
  </si>
  <si>
    <t>0.85</t>
  </si>
  <si>
    <t>Fecha lectura</t>
  </si>
  <si>
    <t>Sensor</t>
  </si>
  <si>
    <t>Hora lectura</t>
  </si>
  <si>
    <t>08:15:30</t>
  </si>
  <si>
    <t>Sensor origen</t>
  </si>
  <si>
    <t>B2S05</t>
  </si>
  <si>
    <t>Lat/Lon/Alt PostGIS</t>
  </si>
  <si>
    <t>POINT</t>
  </si>
  <si>
    <t>Nivel Anexo A</t>
  </si>
  <si>
    <t>ETL</t>
  </si>
  <si>
    <t>3</t>
  </si>
  <si>
    <t>clasificacion_ppm</t>
  </si>
  <si>
    <t>ppm_min</t>
  </si>
  <si>
    <t>Límite inferior</t>
  </si>
  <si>
    <t>Anexo A</t>
  </si>
  <si>
    <t>ppm_max</t>
  </si>
  <si>
    <t>Límite superior</t>
  </si>
  <si>
    <t>protocolo</t>
  </si>
  <si>
    <t>TEXT</t>
  </si>
  <si>
    <t>Acción seguridad</t>
  </si>
  <si>
    <t>Detener línea</t>
  </si>
  <si>
    <t>empleados</t>
  </si>
  <si>
    <t>id_empleado</t>
  </si>
  <si>
    <t>SERIAL</t>
  </si>
  <si>
    <t>Trabajador</t>
  </si>
  <si>
    <t>RRHH</t>
  </si>
  <si>
    <t>101</t>
  </si>
  <si>
    <t>turnos</t>
  </si>
  <si>
    <t>id_turno</t>
  </si>
  <si>
    <t>1,2,3</t>
  </si>
  <si>
    <t>Caso</t>
  </si>
  <si>
    <t>hora_inicio</t>
  </si>
  <si>
    <t>08:00 / 16:00 / 00:00</t>
  </si>
  <si>
    <t>08:00</t>
  </si>
  <si>
    <t>filtros</t>
  </si>
  <si>
    <t>id_filtro</t>
  </si>
  <si>
    <t>Filtro instalado</t>
  </si>
  <si>
    <t>Mantenimiento</t>
  </si>
  <si>
    <t>5001</t>
  </si>
  <si>
    <t>costo_usd</t>
  </si>
  <si>
    <t>~300 USD</t>
  </si>
  <si>
    <t>300</t>
  </si>
  <si>
    <t>dias_instalado</t>
  </si>
  <si>
    <t>Vida útil en línea</t>
  </si>
  <si>
    <t>Tabla: lecturas — Base de datos monitoreo-produccion</t>
  </si>
  <si>
    <t>Tamaños según Anexo C del instructivo. VARCHAR = longitud máxima + 4. Script: monitoreo-produccion.sql (PostgreSQL + PostGIS).</t>
  </si>
  <si>
    <t>Nombre Campo</t>
  </si>
  <si>
    <t>Tipo de dato</t>
  </si>
  <si>
    <t>Tamaño (Bytes)</t>
  </si>
  <si>
    <t>NUMERIC(10,6)</t>
  </si>
  <si>
    <t>altitud</t>
  </si>
  <si>
    <t>NUMERIC(8,2)</t>
  </si>
  <si>
    <t>INTEGER</t>
  </si>
  <si>
    <t>origen</t>
  </si>
  <si>
    <t>VARCHAR(20)</t>
  </si>
  <si>
    <t>fecha_carga</t>
  </si>
  <si>
    <t>TIMESTAMP</t>
  </si>
  <si>
    <t>GEOGRAPHY(POINT, 4326)</t>
  </si>
  <si>
    <t>—</t>
  </si>
  <si>
    <t>Tamaño de un (1) registro en bytes</t>
  </si>
  <si>
    <t>Nota</t>
  </si>
  <si>
    <t>La suma debe dar 148 bytes. PostgreSQL agrega overhead por fila (~24 B) e índices adicionales en disco; no incluidos aquí.</t>
  </si>
  <si>
    <t>CÁLCULOS DE ALMACENAMIENTO (referencia Parametros)</t>
  </si>
  <si>
    <t>Variables (vincule a hoja Parametros o edite aquí)</t>
  </si>
  <si>
    <t>Líneas/fábrica</t>
  </si>
  <si>
    <t>Sensores/línea</t>
  </si>
  <si>
    <t>Intervalo lectura</t>
  </si>
  <si>
    <t>Bytes/registro JSON</t>
  </si>
  <si>
    <t>Bytes/registro PostgreSQL</t>
  </si>
  <si>
    <t>Bytes/registro ESP8266</t>
  </si>
  <si>
    <t>SPIFFS bytes</t>
  </si>
  <si>
    <t>Cálculos por fábrica</t>
  </si>
  <si>
    <t>Métrica</t>
  </si>
  <si>
    <t>Fórmula</t>
  </si>
  <si>
    <t>Resultado</t>
  </si>
  <si>
    <t>Sensores por fábrica</t>
  </si>
  <si>
    <t>Lecturas por minuto (sensor)</t>
  </si>
  <si>
    <t>Lecturas por día (sensor)</t>
  </si>
  <si>
    <t>Lecturas por día (fábrica)</t>
  </si>
  <si>
    <t>Bytes por día (fábrica)</t>
  </si>
  <si>
    <t>MB por día (fábrica)</t>
  </si>
  <si>
    <t>MB</t>
  </si>
  <si>
    <t>GB por mes (fábrica, 30 d)</t>
  </si>
  <si>
    <t>Lecturas/día (3 fábricas)</t>
  </si>
  <si>
    <t>GB por año (sistema, JSON)</t>
  </si>
  <si>
    <t>Bytes por día (fábrica, PostgreSQL)</t>
  </si>
  <si>
    <t>MB por día (fábrica, PostgreSQL)</t>
  </si>
  <si>
    <t>GB por año (sistema, PostgreSQL)</t>
  </si>
  <si>
    <t>Dimensionamiento AWS</t>
  </si>
  <si>
    <t>Recurso</t>
  </si>
  <si>
    <t>EBS PostgreSQL nube (recomendado)</t>
  </si>
  <si>
    <t>Año 1 + índices</t>
  </si>
  <si>
    <t>S3 Parquet comprimido (30% crudo PG)</t>
  </si>
  <si>
    <t>GB/año</t>
  </si>
  <si>
    <t>Lifecycle a Glacier</t>
  </si>
  <si>
    <t>Registros/día en 1 sensor ESP8266</t>
  </si>
  <si>
    <t>KB/día en 1 sensor (CSV 60B)</t>
  </si>
  <si>
    <t>KB</t>
  </si>
  <si>
    <t>Horas hasta llenar SPIFFS 1MB</t>
  </si>
  <si>
    <t>horas</t>
  </si>
  <si>
    <t>Limpiar antes</t>
  </si>
  <si>
    <t>REQUERIMIENTOS DE LIMPIEZA (Imagen 6)</t>
  </si>
  <si>
    <t>Componente</t>
  </si>
  <si>
    <t>Tiempo limpieza</t>
  </si>
  <si>
    <t>Frecuencia</t>
  </si>
  <si>
    <t>Justificación técnica</t>
  </si>
  <si>
    <t>Hoja lecturas-sensor (ESP8266)</t>
  </si>
  <si>
    <t>Cada 12 horas</t>
  </si>
  <si>
    <t>2 veces/día</t>
  </si>
  <si>
    <t>8640 lect/día × 60 B ≈ 506 KB/día. SPIFFS ~1 MB → límite ~48 h. Exportar a servidor local antes de borrar.</t>
  </si>
  <si>
    <t>Hoja lecturas-fabrica (.xlsx)</t>
  </si>
  <si>
    <t>Cada 24 horas</t>
  </si>
  <si>
    <t>1 vez/día (fin turno 3)</t>
  </si>
  <si>
    <t>691200 filas/día × 148 B ≈ 97,6 MB/día. Rotar diario y archivar en PostgreSQL.</t>
  </si>
  <si>
    <t>Base de datos local (tabla lecturas)</t>
  </si>
  <si>
    <t>Retención 30 días</t>
  </si>
  <si>
    <t>Mensual</t>
  </si>
  <si>
    <t>≈2,9 GB/mes/fábrica (148 B/registro). Purga tras replicación a nube.</t>
  </si>
  <si>
    <t>Base de datos nube (lecturas)</t>
  </si>
  <si>
    <t>Retención 90 días</t>
  </si>
  <si>
    <t>Trimestral</t>
  </si>
  <si>
    <t>Hot data en PostgreSQL; histórico permanece en S3/Redshift.</t>
  </si>
  <si>
    <t>AWS S3 Bucket</t>
  </si>
  <si>
    <t>Lifecycle 365 días → Glacier</t>
  </si>
  <si>
    <t>Anual a frío</t>
  </si>
  <si>
    <t>Sin borrado; Parquet comprimido ~30% del crudo.</t>
  </si>
  <si>
    <t>ANEXO A - Clasificación Benceno (C6H6)</t>
  </si>
  <si>
    <t>id</t>
  </si>
  <si>
    <t>Clasificación</t>
  </si>
  <si>
    <t>Impacto salud</t>
  </si>
  <si>
    <t>Protocolo</t>
  </si>
  <si>
    <t>Color LED</t>
  </si>
  <si>
    <t>Sin consecuencias</t>
  </si>
  <si>
    <t>Seguro NIOSH largo plazo</t>
  </si>
  <si>
    <t>Monitoreo normal</t>
  </si>
  <si>
    <t>VERDE</t>
  </si>
  <si>
    <t>Exposición permitida OSHA</t>
  </si>
  <si>
    <t>Riesgo acumulativo bajo</t>
  </si>
  <si>
    <t>Registro y vigilancia</t>
  </si>
  <si>
    <t>Toxicidad moderada</t>
  </si>
  <si>
    <t>Anemia, mareo; riesgo cáncer</t>
  </si>
  <si>
    <t>Revisar microcontrolador/sensor</t>
  </si>
  <si>
    <t>AMARILLO</t>
  </si>
  <si>
    <t>Peligroso</t>
  </si>
  <si>
    <t>Náusea, daño orgánico</t>
  </si>
  <si>
    <t>DETENER línea de producción</t>
  </si>
  <si>
    <t>NARANJA</t>
  </si>
  <si>
    <t>Altamente peligroso</t>
  </si>
  <si>
    <t>Pérdida conciencia</t>
  </si>
  <si>
    <t>DETENER fábrica</t>
  </si>
  <si>
    <t>ROJO</t>
  </si>
  <si>
    <t>Extremo (letal)</t>
  </si>
  <si>
    <t>Colapso, muerte</t>
  </si>
  <si>
    <t>Bomberos y Defensa Civil</t>
  </si>
  <si>
    <t>ROJO PARPADEO</t>
  </si>
  <si>
    <t>DISEÑO TABLERO DE CONTROL (Imagen 7)</t>
  </si>
  <si>
    <t>Insight</t>
  </si>
  <si>
    <t>Tipo gráfico</t>
  </si>
  <si>
    <t>Herramienta</t>
  </si>
  <si>
    <t>Consulta SQL resumida</t>
  </si>
  <si>
    <t>Promedio ppm por fábrica últimos 3 días</t>
  </si>
  <si>
    <t>Barras</t>
  </si>
  <si>
    <t>Metabase/Excel</t>
  </si>
  <si>
    <t>AVG(ppm) GROUP BY id_fabrica, fecha</t>
  </si>
  <si>
    <t>Promedio por minuto última hora</t>
  </si>
  <si>
    <t>Serie temporal</t>
  </si>
  <si>
    <t>Metabase</t>
  </si>
  <si>
    <t>AVG por minuto, última 1h</t>
  </si>
  <si>
    <t>Promedio diario por hora (hoy)</t>
  </si>
  <si>
    <t>AVG por hora, fecha=CURRENT_DATE</t>
  </si>
  <si>
    <t>Promedio semanal por día</t>
  </si>
  <si>
    <t>QuickSight</t>
  </si>
  <si>
    <t>AVG por día, últimos 7d</t>
  </si>
  <si>
    <t>Top 15 sensores mayor ppm (1h)</t>
  </si>
  <si>
    <t>Pareto</t>
  </si>
  <si>
    <t>ORDER BY avg DESC LIMIT 15</t>
  </si>
  <si>
    <t>Frecuencia por clasificación ppm</t>
  </si>
  <si>
    <t>Ambos</t>
  </si>
  <si>
    <t>COUNT GROUP BY id_clasificacion</t>
  </si>
  <si>
    <t>DATOS EJEMPLO - Gráfico 1: Promedio ppm por fábrica (3 días)</t>
  </si>
  <si>
    <t>Día-3</t>
  </si>
  <si>
    <t>Día-2</t>
  </si>
  <si>
    <t>Día-1</t>
  </si>
  <si>
    <t>Promedio</t>
  </si>
  <si>
    <t>C</t>
  </si>
  <si>
    <t>DATOS EJEMPLO - Gráfico 6: Frecuencia por clasificación</t>
  </si>
  <si>
    <t>OSHA permitido</t>
  </si>
  <si>
    <t>Moderada</t>
  </si>
  <si>
    <t>Extremo</t>
  </si>
  <si>
    <t>1.1 ROLES DEL GOBIERNO DE DATOS (Imagen 8)</t>
  </si>
  <si>
    <t>Departamento o persona</t>
  </si>
  <si>
    <t>Rol, responsabilidades y funciones</t>
  </si>
  <si>
    <t>Gerencia General</t>
  </si>
  <si>
    <t>Máxima autoridad</t>
  </si>
  <si>
    <t>Patrocinador ejecutivo; aprueba presupuesto y políticas</t>
  </si>
  <si>
    <t>Comité de Gobierno de Datos</t>
  </si>
  <si>
    <t>Multidisciplinario</t>
  </si>
  <si>
    <t>Estándares calidad, retención, cumplimiento Anexo A</t>
  </si>
  <si>
    <t>Gerencia de Producción</t>
  </si>
  <si>
    <t>Proceso químico</t>
  </si>
  <si>
    <t>Data Owner; protocolos paro línea/fábrica</t>
  </si>
  <si>
    <t>HSE</t>
  </si>
  <si>
    <t>Salud y ambiente</t>
  </si>
  <si>
    <t>Data Steward seguridad; calibración sensores</t>
  </si>
  <si>
    <t>Supervisores de planta</t>
  </si>
  <si>
    <t>3 turnos × 8h</t>
  </si>
  <si>
    <t>Data Steward operativo; atiende alarmas LED</t>
  </si>
  <si>
    <t>TI / Infraestructura</t>
  </si>
  <si>
    <t>Servidor y red</t>
  </si>
  <si>
    <t>Custodio técnico; APIs, PostgreSQL, AWS</t>
  </si>
  <si>
    <t>Arquitecto de Datos (Pascual Bravo)</t>
  </si>
  <si>
    <t>Diseño</t>
  </si>
  <si>
    <t>Arquitectura local+nube, modelo datos</t>
  </si>
  <si>
    <t>Ingeniero de Datos</t>
  </si>
  <si>
    <t>Pipelines Firehose, Glue, Spark SQL/Redshift</t>
  </si>
  <si>
    <t>DBA</t>
  </si>
  <si>
    <t>Bases de datos</t>
  </si>
  <si>
    <t>PostgreSQL+PostGIS; limpieza tabla lecturas</t>
  </si>
  <si>
    <t>Desarrollador IoT</t>
  </si>
  <si>
    <t>API HTTP JSON, hojas lecturas-sensor</t>
  </si>
  <si>
    <t>Analista BI</t>
  </si>
  <si>
    <t>Dashboards</t>
  </si>
  <si>
    <t>Metabase local, QuickSight nube, prototipos Excel</t>
  </si>
  <si>
    <t>Filtros USD 300</t>
  </si>
  <si>
    <t>Recambio según analítica; registro en BD</t>
  </si>
  <si>
    <t>2.1 ELEMENTOS DEL PROYECTO BIG DATA (Imagen 9)</t>
  </si>
  <si>
    <t>Elemento</t>
  </si>
  <si>
    <t>Observaciones</t>
  </si>
  <si>
    <t>Arquitectura Big Data local+nube</t>
  </si>
  <si>
    <t>Plataforma híbrida procesamiento y almacenamiento</t>
  </si>
  <si>
    <t>Gateway local si falla internet</t>
  </si>
  <si>
    <t>Monitoreo 24/7</t>
  </si>
  <si>
    <t>Control ppm benceno 3 fábricas</t>
  </si>
  <si>
    <t>240 sensores, Anexo A</t>
  </si>
  <si>
    <t>Fuentes analógicas</t>
  </si>
  <si>
    <t>Lecturas MQ-135 en producción</t>
  </si>
  <si>
    <t>Cada 10 segundos</t>
  </si>
  <si>
    <t>Clasificación ppm</t>
  </si>
  <si>
    <t>Anexo A alarmas y protocolos</t>
  </si>
  <si>
    <t>Tabla clasificacion_ppm</t>
  </si>
  <si>
    <t>BD producción local y nube</t>
  </si>
  <si>
    <t>PostgreSQL+PostGIS</t>
  </si>
  <si>
    <t>monitoreo-produccion</t>
  </si>
  <si>
    <t>Infraestructura local</t>
  </si>
  <si>
    <t>Servidor, Wi-Fi, pantalla gigante</t>
  </si>
  <si>
    <t>1 servidor/fábrica</t>
  </si>
  <si>
    <t>Infraestructura AWS</t>
  </si>
  <si>
    <t>EC2, EBS, Kinesis, S3, Glue, Redshift</t>
  </si>
  <si>
    <t>Boto3 para ingestión</t>
  </si>
  <si>
    <t>Integración componentes</t>
  </si>
  <si>
    <t>APIs HTTP JSON</t>
  </si>
  <si>
    <t>MCU→Local→Firehose→S3</t>
  </si>
  <si>
    <t>Info fábricas</t>
  </si>
  <si>
    <t>Tabla fabricas</t>
  </si>
  <si>
    <t>Líneas producción</t>
  </si>
  <si>
    <t>4 por fábrica</t>
  </si>
  <si>
    <t>12 líneas total</t>
  </si>
  <si>
    <t>Sensores</t>
  </si>
  <si>
    <t>80/fábrica</t>
  </si>
  <si>
    <t>MQ-135 calibrado benceno</t>
  </si>
  <si>
    <t>ETL local</t>
  </si>
  <si>
    <t>Extracción API, transformación, carga</t>
  </si>
  <si>
    <t>Python + PostgreSQL</t>
  </si>
  <si>
    <t>ETL nube</t>
  </si>
  <si>
    <t>Firehose→S3→Glue→PostgreSQL</t>
  </si>
  <si>
    <t>Parquet recomendado</t>
  </si>
  <si>
    <t>Almacenamiento masivo</t>
  </si>
  <si>
    <t>Local+S3+Redshift</t>
  </si>
  <si>
    <t>Ver Calculos_almacenamiento</t>
  </si>
  <si>
    <t>Analítica</t>
  </si>
  <si>
    <t>Agregaciones y ML filtros</t>
  </si>
  <si>
    <t>Redshift SQL</t>
  </si>
  <si>
    <t>Dashboard</t>
  </si>
  <si>
    <t>Metabase local, QuickSight nube</t>
  </si>
  <si>
    <t>6 gráficos Imagen 7</t>
  </si>
  <si>
    <t>2.2 LISTA DE VERIFICACIÓN (Imagen 10) - Plazo: 2 meses</t>
  </si>
  <si>
    <t>Elemento / Actividad</t>
  </si>
  <si>
    <t>Estado</t>
  </si>
  <si>
    <t>Tiempo estimado</t>
  </si>
  <si>
    <t>Constitución gobierno de datos</t>
  </si>
  <si>
    <t>Pendiente</t>
  </si>
  <si>
    <t>Semana 1 (3 días)</t>
  </si>
  <si>
    <t>Análisis requerimientos y Anexo A</t>
  </si>
  <si>
    <t>Semana 1 (2 días)</t>
  </si>
  <si>
    <t>Diseño arquitectura local+AWS</t>
  </si>
  <si>
    <t>Semana 1-2 (5 días)</t>
  </si>
  <si>
    <t>Cálculos almacenamiento y limpieza</t>
  </si>
  <si>
    <t>Semana 2 (3 días)</t>
  </si>
  <si>
    <t>Modelo datos y diccionario</t>
  </si>
  <si>
    <t>En progreso</t>
  </si>
  <si>
    <t>Red local × 3 fábricas</t>
  </si>
  <si>
    <t>Semana 2-3 (10 días)</t>
  </si>
  <si>
    <t>Programación ESP8266+MQ-135</t>
  </si>
  <si>
    <t>Semana 3-4 (10 días)</t>
  </si>
  <si>
    <t>80 hojas lecturas-sensor/fábrica</t>
  </si>
  <si>
    <t>Semana 3 (5 días)</t>
  </si>
  <si>
    <t>PostgreSQL local+PostGIS+DDL</t>
  </si>
  <si>
    <t>Semana 4 (5 días)</t>
  </si>
  <si>
    <t>Semana 4-5 (7 días)</t>
  </si>
  <si>
    <t>Configuración AWS EC2+EBS</t>
  </si>
  <si>
    <t>Semana 4 (3 días)</t>
  </si>
  <si>
    <t>Kinesis Firehose + S3</t>
  </si>
  <si>
    <t>Semana 5 (4 días)</t>
  </si>
  <si>
    <t>API nube Boto3</t>
  </si>
  <si>
    <t>Semana 5 (3 días)</t>
  </si>
  <si>
    <t>PostgreSQL nube monitoreo-produccion</t>
  </si>
  <si>
    <t>Semana 5-6 (5 días)</t>
  </si>
  <si>
    <t>Glue ETL + Lambda</t>
  </si>
  <si>
    <t>Semana 6 (5 días)</t>
  </si>
  <si>
    <t>Redshift</t>
  </si>
  <si>
    <t>Semana 6 (4 días)</t>
  </si>
  <si>
    <t>Reglas alarma Anexo A</t>
  </si>
  <si>
    <t>Semana 6 (3 días)</t>
  </si>
  <si>
    <t>Metabase × 3 fábricas</t>
  </si>
  <si>
    <t>Semana 7 (5 días)</t>
  </si>
  <si>
    <t>QuickSight consolidado</t>
  </si>
  <si>
    <t>Semana 7 (4 días)</t>
  </si>
  <si>
    <t>6 gráficos prototipo Excel</t>
  </si>
  <si>
    <t>Semana 7 (3 días)</t>
  </si>
  <si>
    <t>Pruebas integración E2E</t>
  </si>
  <si>
    <t>Semana 7-8 (5 días)</t>
  </si>
  <si>
    <t>Documentación y enlace entrega</t>
  </si>
  <si>
    <t>Semana 8 (3 días)</t>
  </si>
  <si>
    <t>SCRIPTS DE CREACIÓN Y POBLAMIENTO - PostgreSQL</t>
  </si>
  <si>
    <t xml:space="preserve">-- Base de datos: monitoreo-produccion
CREATE DATABASE "monitoreo-produccion";
\c "monitoreo-produccion"
CREATE EXTENSION IF NOT EXISTS postgis;
CREATE TABLE fabricas (
  id_fabrica CHAR(1) PRIMARY KEY,
  nombre VARCHAR(50) NOT NULL,
  ubicacion GEOGRAPHY(POINT, 4326)
);
CREATE TABLE lineas_produccion (
  id_linea VARCHAR(5) PRIMARY KEY,
  id_fabrica CHAR(1) REFERENCES fabricas(id_fabrica),
  nombre VARCHAR(50)
);
CREATE TABLE clasificacion_ppm (
  id_clasificacion SERIAL PRIMARY KEY,
  ppm_min NUMERIC(10,2) NOT NULL,
  ppm_max NUMERIC(10,2) NOT NULL,
  nivel VARCHAR(80) NOT NULL,
  impacto_salud TEXT,
  protocolo TEXT NOT NULL
);
CREATE TABLE productos (
  id_producto SERIAL PRIMARY KEY,
  nombre VARCHAR(100),
  emite_benceno BOOLEAN DEFAULT TRUE
);
CREATE TABLE tipos_filtro (
  id_tipo_filtro SERIAL PRIMARY KEY,
  descripcion VARCHAR(100),
  costo_usd NUMERIC(10,2) DEFAULT 300,
  vida_max_dias INT DEFAULT 15
);
CREATE TABLE filtros (
  id_filtro SERIAL PRIMARY KEY,
  id_linea VARCHAR(5) REFERENCES lineas_produccion(id_linea),
  id_tipo_filtro INT REFERENCES tipos_filtro(id_tipo_filtro),
  fecha_instalacion DATE,
  fecha_cambio DATE,
  activo BOOLEAN DEFAULT TRUE
);
CREATE TABLE turnos (
  id_turno INT PRIMARY KEY,
  nombre VARCHAR(20),
  hora_inicio TIME,
  hora_fin TIME
);
CREATE TABLE empleados (
  id_empleado SERIAL PRIMARY KEY,
  nombre VARCHAR(100),
  cargo VARCHAR(50)
);
CREATE TABLE empleado_turno (
  id SERIAL PRIMARY KEY,
  id_empleado INT REFERENCES empleados(id_empleado),
  id_turno INT REFERENCES turnos(id_turno),
  es_supervisor BOOLEAN DEFAULT FALSE,
  fecha DATE,
  id_fabrica CHAR(1) REFERENCES fabricas(id_fabrica)
);
CREATE TABLE lecturas (
  id_lectura BIGSERIAL PRIMARY KEY,
  ppm_benceno NUMERIC(10,4) NOT NULL,
  fecha DATE NOT NULL,
  hora TIME NOT NULL,
  id_sensor VARCHAR(10) NOT NULL,
  id_linea VARCHAR(5) REFERENCES lineas_produccion(id_linea),
  id_fabrica CHAR(1) REFERENCES fabricas(id_fabrica),
  ubicacion GEOGRAPHY(POINT, 4326),
  id_clasificacion INT REFERENCES clasificacion_ppm(id_clasificacion),
  fecha_carga TIMESTAMP DEFAULT NOW()
);
-- POBLAMIENTO
INSERT INTO fabricas VALUES
('A','Fábrica A', ST_SetSRID(ST_MakePoint(-75.581211,6.244203),4326)),
('B','Fábrica B', ST_SetSRID(ST_MakePoint(-75.590000,6.250000),4326)),
('C','Fábrica C', ST_SetSRID(ST_MakePoint(-75.600000,6.255000),4326));
INSERT INTO lineas_produccion VALUES
('A1','A','Línea A1'),('A2','A','Línea A2'),('A3','A','Línea A3'),('A4','A','Línea A4'),
('B1','B','Línea B1'),('B2','B','Línea B2'),('B3','B','Línea B3'),('B4','B','Línea B4'),
('C1','C','Línea C1'),('C2','C','Línea C2'),('C3','C','Línea C3'),('C4','C','Línea C4');
INSERT INTO turnos VALUES
(1,'Turno 1','08:00','16:00'),
(2,'Turno 2','16:00','00:00'),
(3,'Turno 3','00:00','08:00');
INSERT INTO clasificacion_ppm (ppm_min,ppm_max,nivel,impacto_salud,protocolo) VALUES
(0,0.5,'Sin consecuencias','Seguro','Monitoreo normal'),
(0.5,1,'OSHA permitido','Riesgo bajo','Registro'),
(1,10,'Toxicidad moderada','Anemia, mareo','Revisar microcontrolador'),
(10,50,'Peligroso','Daño orgánico','Detener línea'),
(50,500,'Altamente peligroso','Pérdida conciencia','Detener fábrica'),
(500,999999,'Extremo letal','Muerte','Bomberos y Defensa Civil');
INSERT INTO productos (nombre,emite_benceno) VALUES ('Producto tóxico principal',TRUE);
INSERT INTO tipos_filtro (descripcion,costo_usd,vida_max_dias)
VALUES ('Filtro carbón activo benceno',300,15);
</t>
  </si>
  <si>
    <t>MUESTRA DE LECTURAS (poblamiento ejemplo)</t>
  </si>
  <si>
    <t>00:36:00</t>
  </si>
  <si>
    <t>A2S10</t>
  </si>
  <si>
    <t>A2</t>
  </si>
  <si>
    <t>01:52:00</t>
  </si>
  <si>
    <t>B1S05</t>
  </si>
  <si>
    <t>B1</t>
  </si>
  <si>
    <t>00:42:00</t>
  </si>
  <si>
    <t>01:14:00</t>
  </si>
  <si>
    <t>00:09:00</t>
  </si>
  <si>
    <t>01:01:00</t>
  </si>
  <si>
    <t>00:47:00</t>
  </si>
  <si>
    <t>01:08:00</t>
  </si>
  <si>
    <t>00:12:00</t>
  </si>
  <si>
    <t>00:50:00</t>
  </si>
  <si>
    <t>00:54:00</t>
  </si>
  <si>
    <t>00:16:00</t>
  </si>
  <si>
    <t>00:11:00</t>
  </si>
  <si>
    <t>00:25:00</t>
  </si>
  <si>
    <t>00:10:00</t>
  </si>
  <si>
    <t>00:08:00</t>
  </si>
  <si>
    <t>01:38:00</t>
  </si>
  <si>
    <t>01:06:00</t>
  </si>
  <si>
    <t>00:52:00</t>
  </si>
  <si>
    <t>01:26:00</t>
  </si>
  <si>
    <t>02:00:00</t>
  </si>
  <si>
    <t>01:16:00</t>
  </si>
  <si>
    <t>01:41:00</t>
  </si>
  <si>
    <t>01:03:00</t>
  </si>
  <si>
    <t>01:35:00</t>
  </si>
  <si>
    <t>01:15:00</t>
  </si>
  <si>
    <t>01:17:00</t>
  </si>
  <si>
    <t>00:03:00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</si>
</sst>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4"/>
      <color rgb="FF1F4E79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Promedio ppm por fábrica (3 días)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Dashboard_diseno!$A$14:$A$16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Dashboard_diseno!$E$14:$E$16</c:f>
              <c:numCache>
                <c:formatCode>General</c:formatCode>
                <c:ptCount val="3"/>
                <c:pt idx="0">
                  <c:v>0.483333333333333</c:v>
                </c:pt>
                <c:pt idx="1">
                  <c:v>0.95</c:v>
                </c:pt>
                <c:pt idx="2">
                  <c:v>0.376666666666667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Fábrica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s-MX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ppm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fab40f-8893-47a2-9c49-47edef2aa73f}"/>
      </c:ext>
    </c:extLst>
  </c:chart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Frecuencia por nivel de peligrosidad (ppm)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Dashboard_diseno!$A$22:$A$27</c:f>
              <c:strCache>
                <c:ptCount val="6"/>
                <c:pt idx="0">
                  <c:v>Sin consecuencias</c:v>
                </c:pt>
                <c:pt idx="1">
                  <c:v>OSHA permitido</c:v>
                </c:pt>
                <c:pt idx="2">
                  <c:v>Moderada</c:v>
                </c:pt>
                <c:pt idx="3">
                  <c:v>Peligroso</c:v>
                </c:pt>
                <c:pt idx="4">
                  <c:v>Altamente peligroso</c:v>
                </c:pt>
                <c:pt idx="5">
                  <c:v>Extremo</c:v>
                </c:pt>
              </c:strCache>
            </c:strRef>
          </c:cat>
          <c:val>
            <c:numRef>
              <c:f>Dashboard_diseno!$B$22:$B$27</c:f>
              <c:numCache>
                <c:formatCode>General</c:formatCode>
                <c:ptCount val="6"/>
                <c:pt idx="0">
                  <c:v>45000</c:v>
                </c:pt>
                <c:pt idx="1">
                  <c:v>12000</c:v>
                </c:pt>
                <c:pt idx="2">
                  <c:v>2800</c:v>
                </c:pt>
                <c:pt idx="3">
                  <c:v>150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a72393-0a6b-4ba6-bca2-1bd5d404942d}"/>
      </c:ext>
    </c:extLst>
  </c:chart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2</xdr:row>
      <xdr:rowOff>0</xdr:rowOff>
    </xdr:from>
    <xdr:ext cx="6480000" cy="3600000"/>
    <xdr:graphicFrame>
      <xdr:nvGraphicFramePr>
        <xdr:cNvPr id="2" name="Chart 1"/>
        <xdr:cNvGraphicFramePr/>
      </xdr:nvGraphicFramePr>
      <xdr:xfrm>
        <a:off x="10934700" y="428625"/>
        <a:ext cx="647954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6480000" cy="3600000"/>
    <xdr:graphicFrame>
      <xdr:nvGraphicFramePr>
        <xdr:cNvPr id="3" name="Chart 2"/>
        <xdr:cNvGraphicFramePr/>
      </xdr:nvGraphicFramePr>
      <xdr:xfrm>
        <a:off x="10934700" y="3286125"/>
        <a:ext cx="647954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A6" sqref="A6"/>
    </sheetView>
  </sheetViews>
  <sheetFormatPr defaultColWidth="9" defaultRowHeight="15" outlineLevelCol="4"/>
  <cols>
    <col min="1" max="1" width="45" customWidth="1"/>
    <col min="2" max="4" width="10" customWidth="1"/>
    <col min="5" max="5" width="31" customWidth="1"/>
  </cols>
  <sheetData>
    <row r="1" ht="18.75" spans="1:5">
      <c r="A1" s="2" t="s">
        <v>0</v>
      </c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t="s">
        <v>6</v>
      </c>
      <c r="B4" t="s">
        <v>7</v>
      </c>
      <c r="C4">
        <v>3</v>
      </c>
      <c r="D4" t="s">
        <v>8</v>
      </c>
      <c r="E4" t="s">
        <v>9</v>
      </c>
    </row>
    <row r="5" spans="1:5">
      <c r="A5" t="s">
        <v>10</v>
      </c>
      <c r="B5" t="s">
        <v>11</v>
      </c>
      <c r="C5">
        <v>4</v>
      </c>
      <c r="D5" t="s">
        <v>8</v>
      </c>
      <c r="E5" t="s">
        <v>12</v>
      </c>
    </row>
    <row r="6" spans="1:5">
      <c r="A6" t="s">
        <v>13</v>
      </c>
      <c r="B6" t="s">
        <v>14</v>
      </c>
      <c r="C6">
        <f ca="1">60/C6</f>
        <v>0</v>
      </c>
      <c r="D6" t="s">
        <v>8</v>
      </c>
      <c r="E6" t="s">
        <v>15</v>
      </c>
    </row>
    <row r="7" spans="1:5">
      <c r="A7" t="s">
        <v>16</v>
      </c>
      <c r="B7" t="s">
        <v>17</v>
      </c>
      <c r="C7">
        <v>20</v>
      </c>
      <c r="D7" t="s">
        <v>8</v>
      </c>
      <c r="E7" t="s">
        <v>18</v>
      </c>
    </row>
    <row r="8" spans="1:5">
      <c r="A8" t="s">
        <v>19</v>
      </c>
      <c r="B8" t="s">
        <v>20</v>
      </c>
      <c r="C8">
        <v>10</v>
      </c>
      <c r="D8" t="s">
        <v>21</v>
      </c>
      <c r="E8" t="s">
        <v>22</v>
      </c>
    </row>
    <row r="9" spans="1:5">
      <c r="A9" t="s">
        <v>23</v>
      </c>
      <c r="B9" t="s">
        <v>24</v>
      </c>
      <c r="C9">
        <f>60/C8</f>
        <v>6</v>
      </c>
      <c r="D9" t="s">
        <v>25</v>
      </c>
      <c r="E9" t="e">
        <f>60/_xleta.T</f>
        <v>#VALUE!</v>
      </c>
    </row>
    <row r="10" spans="1:5">
      <c r="A10" t="s">
        <v>26</v>
      </c>
      <c r="B10" t="s">
        <v>27</v>
      </c>
      <c r="C10">
        <v>120</v>
      </c>
      <c r="D10" t="s">
        <v>28</v>
      </c>
      <c r="E10" t="s">
        <v>29</v>
      </c>
    </row>
    <row r="11" spans="1:5">
      <c r="A11" t="s">
        <v>30</v>
      </c>
      <c r="B11" t="s">
        <v>31</v>
      </c>
      <c r="C11">
        <v>148</v>
      </c>
      <c r="D11" t="s">
        <v>28</v>
      </c>
      <c r="E11" t="s">
        <v>32</v>
      </c>
    </row>
    <row r="12" spans="1:5">
      <c r="A12" t="s">
        <v>33</v>
      </c>
      <c r="B12" t="s">
        <v>34</v>
      </c>
      <c r="C12">
        <v>60</v>
      </c>
      <c r="D12" t="s">
        <v>28</v>
      </c>
      <c r="E12" t="s">
        <v>35</v>
      </c>
    </row>
    <row r="13" spans="1:5">
      <c r="A13" t="s">
        <v>36</v>
      </c>
      <c r="B13" t="s">
        <v>37</v>
      </c>
      <c r="C13">
        <v>1048576</v>
      </c>
      <c r="D13" t="s">
        <v>28</v>
      </c>
      <c r="E13" t="s">
        <v>38</v>
      </c>
    </row>
    <row r="14" spans="1:5">
      <c r="A14" t="s">
        <v>39</v>
      </c>
      <c r="B14" t="s">
        <v>40</v>
      </c>
      <c r="C14">
        <v>1048576</v>
      </c>
      <c r="D14" t="s">
        <v>41</v>
      </c>
      <c r="E14" t="s">
        <v>12</v>
      </c>
    </row>
    <row r="15" spans="1:5">
      <c r="A15" t="s">
        <v>42</v>
      </c>
      <c r="B15" t="s">
        <v>43</v>
      </c>
      <c r="C15">
        <v>30</v>
      </c>
      <c r="D15" t="s">
        <v>44</v>
      </c>
      <c r="E15" t="s">
        <v>12</v>
      </c>
    </row>
    <row r="16" spans="1:5">
      <c r="A16" t="s">
        <v>45</v>
      </c>
      <c r="B16" t="s">
        <v>46</v>
      </c>
      <c r="C16">
        <v>90</v>
      </c>
      <c r="D16" t="s">
        <v>44</v>
      </c>
      <c r="E16" t="s">
        <v>12</v>
      </c>
    </row>
    <row r="17" spans="1:5">
      <c r="A17" t="s">
        <v>47</v>
      </c>
      <c r="B17" t="s">
        <v>48</v>
      </c>
      <c r="C17">
        <v>0.3</v>
      </c>
      <c r="D17" t="s">
        <v>49</v>
      </c>
      <c r="E17" t="s">
        <v>12</v>
      </c>
    </row>
    <row r="18" spans="1:5">
      <c r="A18" t="s">
        <v>50</v>
      </c>
      <c r="B18" t="s">
        <v>51</v>
      </c>
      <c r="C18">
        <v>500</v>
      </c>
      <c r="D18" t="s">
        <v>52</v>
      </c>
      <c r="E18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A1" sqref="A1"/>
    </sheetView>
  </sheetViews>
  <sheetFormatPr defaultColWidth="9" defaultRowHeight="15" outlineLevelCol="6"/>
  <cols>
    <col min="1" max="1" width="45" customWidth="1"/>
    <col min="2" max="2" width="21" customWidth="1"/>
    <col min="3" max="3" width="11" customWidth="1"/>
    <col min="4" max="4" width="10" customWidth="1"/>
    <col min="5" max="5" width="13" customWidth="1"/>
    <col min="6" max="6" width="12" customWidth="1"/>
    <col min="7" max="7" width="32" customWidth="1"/>
  </cols>
  <sheetData>
    <row r="1" ht="18.75" spans="1:7">
      <c r="A1" s="2" t="s">
        <v>53</v>
      </c>
    </row>
    <row r="3" spans="1:7">
      <c r="A3" t="s">
        <v>54</v>
      </c>
    </row>
    <row r="4" spans="1:7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5</v>
      </c>
    </row>
    <row r="5" spans="1:7">
      <c r="A5">
        <v>1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</row>
    <row r="6" spans="1:7">
      <c r="A6">
        <v>2</v>
      </c>
      <c r="B6" t="s">
        <v>67</v>
      </c>
      <c r="C6" t="s">
        <v>68</v>
      </c>
      <c r="D6" t="s">
        <v>69</v>
      </c>
      <c r="E6" t="s">
        <v>64</v>
      </c>
      <c r="F6" t="s">
        <v>70</v>
      </c>
      <c r="G6" t="s">
        <v>71</v>
      </c>
    </row>
    <row r="7" spans="1:7">
      <c r="A7">
        <v>3</v>
      </c>
      <c r="B7" t="s">
        <v>72</v>
      </c>
      <c r="C7" t="s">
        <v>73</v>
      </c>
      <c r="D7" t="s">
        <v>74</v>
      </c>
      <c r="E7" t="s">
        <v>64</v>
      </c>
      <c r="F7" t="s">
        <v>75</v>
      </c>
      <c r="G7" t="s">
        <v>76</v>
      </c>
    </row>
    <row r="8" spans="1:7">
      <c r="A8">
        <v>4</v>
      </c>
      <c r="B8" t="s">
        <v>77</v>
      </c>
      <c r="C8" t="s">
        <v>78</v>
      </c>
      <c r="D8" t="s">
        <v>69</v>
      </c>
      <c r="E8" t="s">
        <v>64</v>
      </c>
      <c r="F8" t="s">
        <v>79</v>
      </c>
      <c r="G8" t="s">
        <v>80</v>
      </c>
    </row>
    <row r="9" spans="1:7">
      <c r="A9">
        <v>5</v>
      </c>
      <c r="B9" t="s">
        <v>81</v>
      </c>
      <c r="C9" t="s">
        <v>78</v>
      </c>
      <c r="D9" t="s">
        <v>82</v>
      </c>
      <c r="E9" t="s">
        <v>64</v>
      </c>
      <c r="F9" t="s">
        <v>83</v>
      </c>
      <c r="G9" t="s">
        <v>84</v>
      </c>
    </row>
    <row r="10" spans="1:7">
      <c r="A10">
        <v>6</v>
      </c>
      <c r="B10" t="s">
        <v>85</v>
      </c>
      <c r="C10" t="s">
        <v>86</v>
      </c>
      <c r="D10" t="s">
        <v>87</v>
      </c>
      <c r="E10" t="s">
        <v>64</v>
      </c>
      <c r="F10" t="s">
        <v>88</v>
      </c>
      <c r="G10" t="s">
        <v>89</v>
      </c>
    </row>
    <row r="11" spans="1:7">
      <c r="A11">
        <v>7</v>
      </c>
      <c r="B11" t="s">
        <v>90</v>
      </c>
      <c r="C11" t="s">
        <v>91</v>
      </c>
      <c r="D11" t="s">
        <v>92</v>
      </c>
      <c r="E11" t="s">
        <v>64</v>
      </c>
      <c r="F11" t="s">
        <v>93</v>
      </c>
      <c r="G11" t="s">
        <v>94</v>
      </c>
    </row>
    <row r="12" spans="1:7">
      <c r="A12">
        <v>8</v>
      </c>
      <c r="B12" t="s">
        <v>95</v>
      </c>
      <c r="C12" t="s">
        <v>91</v>
      </c>
      <c r="D12" t="s">
        <v>92</v>
      </c>
      <c r="E12" t="s">
        <v>64</v>
      </c>
      <c r="F12" t="s">
        <v>96</v>
      </c>
      <c r="G12" t="s">
        <v>94</v>
      </c>
    </row>
    <row r="13" spans="1:7">
      <c r="A13">
        <v>9</v>
      </c>
      <c r="B13" t="s">
        <v>97</v>
      </c>
      <c r="C13" t="s">
        <v>78</v>
      </c>
      <c r="D13" t="s">
        <v>69</v>
      </c>
      <c r="E13" t="s">
        <v>98</v>
      </c>
      <c r="F13" t="s">
        <v>99</v>
      </c>
      <c r="G13" t="s">
        <v>100</v>
      </c>
    </row>
    <row r="14" spans="1:7">
      <c r="A14">
        <v>10</v>
      </c>
      <c r="B14" t="s">
        <v>101</v>
      </c>
      <c r="C14" t="s">
        <v>78</v>
      </c>
      <c r="D14" t="s">
        <v>102</v>
      </c>
      <c r="E14" t="s">
        <v>98</v>
      </c>
      <c r="F14" t="s">
        <v>103</v>
      </c>
      <c r="G14" t="s">
        <v>104</v>
      </c>
    </row>
    <row r="17" spans="1:7">
      <c r="A17" s="4" t="s">
        <v>105</v>
      </c>
    </row>
    <row r="18" spans="1:7">
      <c r="A18" s="1" t="s">
        <v>55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60</v>
      </c>
      <c r="G18" s="1" t="s">
        <v>5</v>
      </c>
    </row>
    <row r="19" spans="1:7">
      <c r="A19">
        <v>1</v>
      </c>
      <c r="B19" t="s">
        <v>61</v>
      </c>
      <c r="C19" t="s">
        <v>62</v>
      </c>
      <c r="D19" t="s">
        <v>63</v>
      </c>
      <c r="E19" t="s">
        <v>64</v>
      </c>
      <c r="F19" t="s">
        <v>106</v>
      </c>
      <c r="G19" t="s">
        <v>107</v>
      </c>
    </row>
    <row r="20" spans="1:7">
      <c r="A20">
        <v>2</v>
      </c>
      <c r="B20" t="s">
        <v>67</v>
      </c>
      <c r="C20" t="s">
        <v>68</v>
      </c>
      <c r="D20" t="s">
        <v>69</v>
      </c>
      <c r="E20" t="s">
        <v>64</v>
      </c>
      <c r="F20" t="s">
        <v>70</v>
      </c>
      <c r="G20" t="s">
        <v>12</v>
      </c>
    </row>
    <row r="21" spans="1:7">
      <c r="A21">
        <v>3</v>
      </c>
      <c r="B21" t="s">
        <v>72</v>
      </c>
      <c r="C21" t="s">
        <v>73</v>
      </c>
      <c r="D21" t="s">
        <v>74</v>
      </c>
      <c r="E21" t="s">
        <v>64</v>
      </c>
      <c r="F21" t="s">
        <v>75</v>
      </c>
      <c r="G21" t="s">
        <v>12</v>
      </c>
    </row>
    <row r="22" spans="1:7">
      <c r="A22">
        <v>4</v>
      </c>
      <c r="B22" t="s">
        <v>77</v>
      </c>
      <c r="C22" t="s">
        <v>78</v>
      </c>
      <c r="D22" t="s">
        <v>69</v>
      </c>
      <c r="E22" t="s">
        <v>64</v>
      </c>
      <c r="F22" t="s">
        <v>79</v>
      </c>
      <c r="G22" t="s">
        <v>108</v>
      </c>
    </row>
    <row r="23" spans="1:7">
      <c r="A23">
        <v>5</v>
      </c>
      <c r="B23" t="s">
        <v>81</v>
      </c>
      <c r="C23" t="s">
        <v>78</v>
      </c>
      <c r="D23" t="s">
        <v>82</v>
      </c>
      <c r="E23" t="s">
        <v>64</v>
      </c>
      <c r="F23" t="s">
        <v>83</v>
      </c>
      <c r="G23" t="s">
        <v>12</v>
      </c>
    </row>
    <row r="24" spans="1:7">
      <c r="A24">
        <v>6</v>
      </c>
      <c r="B24" t="s">
        <v>85</v>
      </c>
      <c r="C24" t="s">
        <v>86</v>
      </c>
      <c r="D24" t="s">
        <v>87</v>
      </c>
      <c r="E24" t="s">
        <v>64</v>
      </c>
      <c r="F24" t="s">
        <v>88</v>
      </c>
      <c r="G24" t="s">
        <v>12</v>
      </c>
    </row>
    <row r="25" spans="1:7">
      <c r="A25">
        <v>7</v>
      </c>
      <c r="B25" t="s">
        <v>90</v>
      </c>
      <c r="C25" t="s">
        <v>91</v>
      </c>
      <c r="D25" t="s">
        <v>92</v>
      </c>
      <c r="E25" t="s">
        <v>64</v>
      </c>
      <c r="F25" t="s">
        <v>93</v>
      </c>
      <c r="G25" t="s">
        <v>12</v>
      </c>
    </row>
    <row r="26" spans="1:7">
      <c r="A26">
        <v>8</v>
      </c>
      <c r="B26" t="s">
        <v>95</v>
      </c>
      <c r="C26" t="s">
        <v>91</v>
      </c>
      <c r="D26" t="s">
        <v>92</v>
      </c>
      <c r="E26" t="s">
        <v>64</v>
      </c>
      <c r="F26" t="s">
        <v>96</v>
      </c>
      <c r="G26" t="s">
        <v>12</v>
      </c>
    </row>
    <row r="27" spans="1:7">
      <c r="A27">
        <v>9</v>
      </c>
      <c r="B27" t="s">
        <v>109</v>
      </c>
      <c r="C27" t="s">
        <v>110</v>
      </c>
      <c r="D27" t="s">
        <v>87</v>
      </c>
      <c r="E27" t="s">
        <v>98</v>
      </c>
      <c r="F27" t="s">
        <v>87</v>
      </c>
      <c r="G27" t="s">
        <v>111</v>
      </c>
    </row>
    <row r="28" spans="1:7">
      <c r="A28">
        <v>10</v>
      </c>
      <c r="B28" t="s">
        <v>112</v>
      </c>
      <c r="C28" t="s">
        <v>110</v>
      </c>
      <c r="D28" t="s">
        <v>12</v>
      </c>
      <c r="E28" t="s">
        <v>98</v>
      </c>
      <c r="F28" t="s">
        <v>113</v>
      </c>
      <c r="G28" t="s">
        <v>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"/>
    </sheetView>
  </sheetViews>
  <sheetFormatPr defaultColWidth="9" defaultRowHeight="15" outlineLevelCol="7"/>
  <cols>
    <col min="1" max="1" width="22" customWidth="1"/>
    <col min="2" max="2" width="18" customWidth="1"/>
    <col min="3" max="3" width="15" customWidth="1"/>
    <col min="4" max="5" width="10" customWidth="1"/>
    <col min="6" max="6" width="23" customWidth="1"/>
    <col min="7" max="8" width="15" customWidth="1"/>
  </cols>
  <sheetData>
    <row r="1" ht="18.75" spans="1:8">
      <c r="A1" s="2" t="s">
        <v>115</v>
      </c>
    </row>
    <row r="3" spans="1:8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5</v>
      </c>
      <c r="G3" s="1" t="s">
        <v>121</v>
      </c>
      <c r="H3" s="1" t="s">
        <v>60</v>
      </c>
    </row>
    <row r="4" spans="1:8">
      <c r="A4" t="s">
        <v>122</v>
      </c>
      <c r="B4" t="s">
        <v>85</v>
      </c>
      <c r="C4" t="s">
        <v>123</v>
      </c>
      <c r="D4" t="s">
        <v>124</v>
      </c>
      <c r="E4" t="s">
        <v>98</v>
      </c>
      <c r="F4" t="s">
        <v>125</v>
      </c>
      <c r="G4" t="s">
        <v>126</v>
      </c>
      <c r="H4" t="s">
        <v>88</v>
      </c>
    </row>
    <row r="5" spans="1:8">
      <c r="A5" t="s">
        <v>122</v>
      </c>
      <c r="B5" t="s">
        <v>127</v>
      </c>
      <c r="C5" t="s">
        <v>128</v>
      </c>
      <c r="D5" t="s">
        <v>12</v>
      </c>
      <c r="E5" t="s">
        <v>98</v>
      </c>
      <c r="F5" t="s">
        <v>129</v>
      </c>
      <c r="G5" t="s">
        <v>126</v>
      </c>
      <c r="H5" t="s">
        <v>130</v>
      </c>
    </row>
    <row r="6" spans="1:8">
      <c r="A6" t="s">
        <v>122</v>
      </c>
      <c r="B6" t="s">
        <v>131</v>
      </c>
      <c r="C6" t="s">
        <v>132</v>
      </c>
      <c r="D6" t="s">
        <v>12</v>
      </c>
      <c r="E6" t="s">
        <v>64</v>
      </c>
      <c r="F6" t="s">
        <v>133</v>
      </c>
      <c r="G6" t="s">
        <v>134</v>
      </c>
      <c r="H6" t="s">
        <v>135</v>
      </c>
    </row>
    <row r="7" spans="1:8">
      <c r="A7" t="s">
        <v>136</v>
      </c>
      <c r="B7" t="s">
        <v>81</v>
      </c>
      <c r="C7" t="s">
        <v>137</v>
      </c>
      <c r="D7" t="s">
        <v>124</v>
      </c>
      <c r="E7" t="s">
        <v>98</v>
      </c>
      <c r="F7" t="s">
        <v>138</v>
      </c>
      <c r="G7" t="s">
        <v>126</v>
      </c>
      <c r="H7" t="s">
        <v>83</v>
      </c>
    </row>
    <row r="8" spans="1:8">
      <c r="A8" t="s">
        <v>136</v>
      </c>
      <c r="B8" t="s">
        <v>85</v>
      </c>
      <c r="C8" t="s">
        <v>123</v>
      </c>
      <c r="D8" t="s">
        <v>139</v>
      </c>
      <c r="E8" t="s">
        <v>98</v>
      </c>
      <c r="F8" t="s">
        <v>140</v>
      </c>
      <c r="G8" t="s">
        <v>126</v>
      </c>
      <c r="H8" t="s">
        <v>88</v>
      </c>
    </row>
    <row r="9" spans="1:8">
      <c r="A9" t="s">
        <v>141</v>
      </c>
      <c r="B9" t="s">
        <v>77</v>
      </c>
      <c r="C9" t="s">
        <v>142</v>
      </c>
      <c r="D9" t="s">
        <v>124</v>
      </c>
      <c r="E9" t="s">
        <v>98</v>
      </c>
      <c r="F9" t="s">
        <v>143</v>
      </c>
      <c r="G9" t="s">
        <v>144</v>
      </c>
      <c r="H9" t="s">
        <v>79</v>
      </c>
    </row>
    <row r="10" spans="1:8">
      <c r="A10" t="s">
        <v>141</v>
      </c>
      <c r="B10" t="s">
        <v>81</v>
      </c>
      <c r="C10" t="s">
        <v>137</v>
      </c>
      <c r="D10" t="s">
        <v>139</v>
      </c>
      <c r="E10" t="s">
        <v>98</v>
      </c>
      <c r="F10" t="s">
        <v>145</v>
      </c>
      <c r="G10" t="s">
        <v>126</v>
      </c>
      <c r="H10" t="s">
        <v>83</v>
      </c>
    </row>
    <row r="11" spans="1:8">
      <c r="A11" t="s">
        <v>146</v>
      </c>
      <c r="B11" t="s">
        <v>147</v>
      </c>
      <c r="C11" t="s">
        <v>148</v>
      </c>
      <c r="D11" t="s">
        <v>124</v>
      </c>
      <c r="E11" t="s">
        <v>98</v>
      </c>
      <c r="F11" t="s">
        <v>149</v>
      </c>
      <c r="G11" t="s">
        <v>150</v>
      </c>
      <c r="H11" t="s">
        <v>151</v>
      </c>
    </row>
    <row r="12" spans="1:8">
      <c r="A12" t="s">
        <v>146</v>
      </c>
      <c r="B12" t="s">
        <v>61</v>
      </c>
      <c r="C12" t="s">
        <v>152</v>
      </c>
      <c r="D12" t="s">
        <v>12</v>
      </c>
      <c r="E12" t="s">
        <v>98</v>
      </c>
      <c r="F12" t="s">
        <v>153</v>
      </c>
      <c r="G12" t="s">
        <v>154</v>
      </c>
      <c r="H12" t="s">
        <v>155</v>
      </c>
    </row>
    <row r="13" spans="1:8">
      <c r="A13" t="s">
        <v>146</v>
      </c>
      <c r="B13" t="s">
        <v>67</v>
      </c>
      <c r="C13" t="s">
        <v>68</v>
      </c>
      <c r="D13" t="s">
        <v>12</v>
      </c>
      <c r="E13" t="s">
        <v>98</v>
      </c>
      <c r="F13" t="s">
        <v>156</v>
      </c>
      <c r="G13" t="s">
        <v>157</v>
      </c>
      <c r="H13" t="s">
        <v>70</v>
      </c>
    </row>
    <row r="14" spans="1:8">
      <c r="A14" t="s">
        <v>146</v>
      </c>
      <c r="B14" t="s">
        <v>72</v>
      </c>
      <c r="C14" t="s">
        <v>73</v>
      </c>
      <c r="D14" t="s">
        <v>12</v>
      </c>
      <c r="E14" t="s">
        <v>98</v>
      </c>
      <c r="F14" t="s">
        <v>158</v>
      </c>
      <c r="G14" t="s">
        <v>157</v>
      </c>
      <c r="H14" t="s">
        <v>159</v>
      </c>
    </row>
    <row r="15" spans="1:8">
      <c r="A15" t="s">
        <v>146</v>
      </c>
      <c r="B15" t="s">
        <v>77</v>
      </c>
      <c r="C15" t="s">
        <v>142</v>
      </c>
      <c r="D15" t="s">
        <v>139</v>
      </c>
      <c r="E15" t="s">
        <v>98</v>
      </c>
      <c r="F15" t="s">
        <v>160</v>
      </c>
      <c r="G15" t="s">
        <v>157</v>
      </c>
      <c r="H15" t="s">
        <v>161</v>
      </c>
    </row>
    <row r="16" spans="1:8">
      <c r="A16" t="s">
        <v>146</v>
      </c>
      <c r="B16" t="s">
        <v>131</v>
      </c>
      <c r="C16" t="s">
        <v>132</v>
      </c>
      <c r="D16" t="s">
        <v>12</v>
      </c>
      <c r="E16" t="s">
        <v>64</v>
      </c>
      <c r="F16" t="s">
        <v>162</v>
      </c>
      <c r="G16" t="s">
        <v>157</v>
      </c>
      <c r="H16" t="s">
        <v>163</v>
      </c>
    </row>
    <row r="17" spans="1:8">
      <c r="A17" t="s">
        <v>146</v>
      </c>
      <c r="B17" t="s">
        <v>112</v>
      </c>
      <c r="C17" t="s">
        <v>110</v>
      </c>
      <c r="D17" t="s">
        <v>139</v>
      </c>
      <c r="E17" t="s">
        <v>64</v>
      </c>
      <c r="F17" t="s">
        <v>164</v>
      </c>
      <c r="G17" t="s">
        <v>165</v>
      </c>
      <c r="H17" t="s">
        <v>166</v>
      </c>
    </row>
    <row r="18" spans="1:8">
      <c r="A18" t="s">
        <v>167</v>
      </c>
      <c r="B18" t="s">
        <v>168</v>
      </c>
      <c r="C18" t="s">
        <v>62</v>
      </c>
      <c r="D18" t="s">
        <v>12</v>
      </c>
      <c r="E18" t="s">
        <v>98</v>
      </c>
      <c r="F18" t="s">
        <v>169</v>
      </c>
      <c r="G18" t="s">
        <v>170</v>
      </c>
      <c r="H18" t="s">
        <v>87</v>
      </c>
    </row>
    <row r="19" spans="1:8">
      <c r="A19" t="s">
        <v>167</v>
      </c>
      <c r="B19" t="s">
        <v>171</v>
      </c>
      <c r="C19" t="s">
        <v>62</v>
      </c>
      <c r="D19" t="s">
        <v>12</v>
      </c>
      <c r="E19" t="s">
        <v>98</v>
      </c>
      <c r="F19" t="s">
        <v>172</v>
      </c>
      <c r="G19" t="s">
        <v>170</v>
      </c>
      <c r="H19" t="s">
        <v>69</v>
      </c>
    </row>
    <row r="20" spans="1:8">
      <c r="A20" t="s">
        <v>167</v>
      </c>
      <c r="B20" t="s">
        <v>173</v>
      </c>
      <c r="C20" t="s">
        <v>174</v>
      </c>
      <c r="D20" t="s">
        <v>12</v>
      </c>
      <c r="E20" t="s">
        <v>98</v>
      </c>
      <c r="F20" t="s">
        <v>175</v>
      </c>
      <c r="G20" t="s">
        <v>170</v>
      </c>
      <c r="H20" t="s">
        <v>176</v>
      </c>
    </row>
    <row r="21" spans="1:8">
      <c r="A21" t="s">
        <v>177</v>
      </c>
      <c r="B21" t="s">
        <v>178</v>
      </c>
      <c r="C21" t="s">
        <v>179</v>
      </c>
      <c r="D21" t="s">
        <v>124</v>
      </c>
      <c r="E21" t="s">
        <v>98</v>
      </c>
      <c r="F21" t="s">
        <v>180</v>
      </c>
      <c r="G21" t="s">
        <v>181</v>
      </c>
      <c r="H21" t="s">
        <v>182</v>
      </c>
    </row>
    <row r="22" spans="1:8">
      <c r="A22" t="s">
        <v>183</v>
      </c>
      <c r="B22" t="s">
        <v>184</v>
      </c>
      <c r="C22" t="s">
        <v>110</v>
      </c>
      <c r="D22" t="s">
        <v>124</v>
      </c>
      <c r="E22" t="s">
        <v>98</v>
      </c>
      <c r="F22" t="s">
        <v>185</v>
      </c>
      <c r="G22" t="s">
        <v>186</v>
      </c>
      <c r="H22" t="s">
        <v>87</v>
      </c>
    </row>
    <row r="23" spans="1:8">
      <c r="A23" t="s">
        <v>183</v>
      </c>
      <c r="B23" t="s">
        <v>187</v>
      </c>
      <c r="C23" t="s">
        <v>73</v>
      </c>
      <c r="D23" t="s">
        <v>12</v>
      </c>
      <c r="E23" t="s">
        <v>98</v>
      </c>
      <c r="F23" t="s">
        <v>188</v>
      </c>
      <c r="G23" t="s">
        <v>186</v>
      </c>
      <c r="H23" t="s">
        <v>189</v>
      </c>
    </row>
    <row r="24" spans="1:8">
      <c r="A24" t="s">
        <v>190</v>
      </c>
      <c r="B24" t="s">
        <v>191</v>
      </c>
      <c r="C24" t="s">
        <v>179</v>
      </c>
      <c r="D24" t="s">
        <v>124</v>
      </c>
      <c r="E24" t="s">
        <v>98</v>
      </c>
      <c r="F24" t="s">
        <v>192</v>
      </c>
      <c r="G24" t="s">
        <v>193</v>
      </c>
      <c r="H24" t="s">
        <v>194</v>
      </c>
    </row>
    <row r="25" spans="1:8">
      <c r="A25" t="s">
        <v>190</v>
      </c>
      <c r="B25" t="s">
        <v>195</v>
      </c>
      <c r="C25" t="s">
        <v>62</v>
      </c>
      <c r="D25" t="s">
        <v>12</v>
      </c>
      <c r="E25" t="s">
        <v>98</v>
      </c>
      <c r="F25" t="s">
        <v>196</v>
      </c>
      <c r="G25" t="s">
        <v>186</v>
      </c>
      <c r="H25" t="s">
        <v>197</v>
      </c>
    </row>
    <row r="26" spans="1:8">
      <c r="A26" t="s">
        <v>190</v>
      </c>
      <c r="B26" t="s">
        <v>198</v>
      </c>
      <c r="C26" t="s">
        <v>110</v>
      </c>
      <c r="D26" t="s">
        <v>12</v>
      </c>
      <c r="E26" t="s">
        <v>64</v>
      </c>
      <c r="F26" t="s">
        <v>199</v>
      </c>
      <c r="G26" t="s">
        <v>165</v>
      </c>
      <c r="H26" t="s">
        <v>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"/>
    </sheetView>
  </sheetViews>
  <sheetFormatPr defaultColWidth="9" defaultRowHeight="15" outlineLevelCol="3"/>
  <cols>
    <col min="1" max="1" width="45" customWidth="1"/>
    <col min="2" max="2" width="36" customWidth="1"/>
    <col min="3" max="3" width="24" customWidth="1"/>
    <col min="4" max="4" width="16" customWidth="1"/>
  </cols>
  <sheetData>
    <row r="1" ht="18.75" spans="1:4">
      <c r="A1" s="2" t="s">
        <v>200</v>
      </c>
    </row>
    <row r="2" spans="1:4">
      <c r="A2" t="s">
        <v>201</v>
      </c>
    </row>
    <row r="4" spans="1:4">
      <c r="A4" s="1" t="s">
        <v>55</v>
      </c>
      <c r="B4" s="1" t="s">
        <v>202</v>
      </c>
      <c r="C4" s="1" t="s">
        <v>203</v>
      </c>
      <c r="D4" s="1" t="s">
        <v>204</v>
      </c>
    </row>
    <row r="5" spans="1:4">
      <c r="A5">
        <v>1</v>
      </c>
      <c r="B5" t="s">
        <v>147</v>
      </c>
      <c r="C5" t="s">
        <v>148</v>
      </c>
      <c r="D5">
        <v>8</v>
      </c>
    </row>
    <row r="6" spans="1:4">
      <c r="A6">
        <v>2</v>
      </c>
      <c r="B6" t="s">
        <v>61</v>
      </c>
      <c r="C6" t="s">
        <v>152</v>
      </c>
      <c r="D6">
        <v>8</v>
      </c>
    </row>
    <row r="7" spans="1:4">
      <c r="A7">
        <v>3</v>
      </c>
      <c r="B7" t="s">
        <v>67</v>
      </c>
      <c r="C7" t="s">
        <v>68</v>
      </c>
      <c r="D7">
        <v>4</v>
      </c>
    </row>
    <row r="8" spans="1:4">
      <c r="A8">
        <v>4</v>
      </c>
      <c r="B8" t="s">
        <v>72</v>
      </c>
      <c r="C8" t="s">
        <v>73</v>
      </c>
      <c r="D8">
        <v>8</v>
      </c>
    </row>
    <row r="9" spans="1:4">
      <c r="A9">
        <v>5</v>
      </c>
      <c r="B9" t="s">
        <v>77</v>
      </c>
      <c r="C9" t="s">
        <v>142</v>
      </c>
      <c r="D9">
        <v>14</v>
      </c>
    </row>
    <row r="10" spans="1:4">
      <c r="A10">
        <v>6</v>
      </c>
      <c r="B10" t="s">
        <v>81</v>
      </c>
      <c r="C10" t="s">
        <v>137</v>
      </c>
      <c r="D10">
        <v>9</v>
      </c>
    </row>
    <row r="11" spans="1:4">
      <c r="A11">
        <v>7</v>
      </c>
      <c r="B11" t="s">
        <v>85</v>
      </c>
      <c r="C11" t="s">
        <v>123</v>
      </c>
      <c r="D11">
        <v>1</v>
      </c>
    </row>
    <row r="12" spans="1:4">
      <c r="A12">
        <v>8</v>
      </c>
      <c r="B12" t="s">
        <v>90</v>
      </c>
      <c r="C12" t="s">
        <v>205</v>
      </c>
      <c r="D12">
        <v>8</v>
      </c>
    </row>
    <row r="13" spans="1:4">
      <c r="A13">
        <v>9</v>
      </c>
      <c r="B13" t="s">
        <v>95</v>
      </c>
      <c r="C13" t="s">
        <v>205</v>
      </c>
      <c r="D13">
        <v>8</v>
      </c>
    </row>
    <row r="14" spans="1:4">
      <c r="A14">
        <v>10</v>
      </c>
      <c r="B14" t="s">
        <v>206</v>
      </c>
      <c r="C14" t="s">
        <v>207</v>
      </c>
      <c r="D14">
        <v>8</v>
      </c>
    </row>
    <row r="15" spans="1:4">
      <c r="A15">
        <v>11</v>
      </c>
      <c r="B15" t="s">
        <v>112</v>
      </c>
      <c r="C15" t="s">
        <v>208</v>
      </c>
      <c r="D15">
        <v>4</v>
      </c>
    </row>
    <row r="16" spans="1:4">
      <c r="A16">
        <v>12</v>
      </c>
      <c r="B16" t="s">
        <v>184</v>
      </c>
      <c r="C16" t="s">
        <v>208</v>
      </c>
      <c r="D16">
        <v>4</v>
      </c>
    </row>
    <row r="17" spans="1:4">
      <c r="A17">
        <v>13</v>
      </c>
      <c r="B17" t="s">
        <v>209</v>
      </c>
      <c r="C17" t="s">
        <v>210</v>
      </c>
      <c r="D17">
        <v>24</v>
      </c>
    </row>
    <row r="18" spans="1:4">
      <c r="A18">
        <v>14</v>
      </c>
      <c r="B18" t="s">
        <v>211</v>
      </c>
      <c r="C18" t="s">
        <v>212</v>
      </c>
      <c r="D18">
        <v>8</v>
      </c>
    </row>
    <row r="19" spans="1:4">
      <c r="A19">
        <v>15</v>
      </c>
      <c r="B19" t="s">
        <v>131</v>
      </c>
      <c r="C19" t="s">
        <v>213</v>
      </c>
      <c r="D19">
        <v>32</v>
      </c>
    </row>
    <row r="20" spans="1:4">
      <c r="A20" t="s">
        <v>214</v>
      </c>
      <c r="B20" s="4" t="s">
        <v>215</v>
      </c>
      <c r="D20" s="4">
        <f>SUM(D5:D19)</f>
        <v>148</v>
      </c>
    </row>
    <row r="22" spans="1:4">
      <c r="A22" t="s">
        <v>216</v>
      </c>
    </row>
    <row r="23" spans="1:4">
      <c r="A23" t="s">
        <v>217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A1" sqref="A1"/>
    </sheetView>
  </sheetViews>
  <sheetFormatPr defaultColWidth="9" defaultRowHeight="15" outlineLevelCol="3"/>
  <cols>
    <col min="1" max="1" width="45" customWidth="1"/>
    <col min="2" max="2" width="19" customWidth="1"/>
    <col min="3" max="3" width="11" customWidth="1"/>
    <col min="4" max="4" width="21" customWidth="1"/>
  </cols>
  <sheetData>
    <row r="1" ht="18.75" spans="1:4">
      <c r="A1" s="2" t="s">
        <v>218</v>
      </c>
    </row>
    <row r="3" spans="1:4">
      <c r="A3" t="s">
        <v>219</v>
      </c>
    </row>
    <row r="4" spans="1:4">
      <c r="A4" s="1" t="s">
        <v>1</v>
      </c>
      <c r="B4" s="1"/>
      <c r="C4" s="1" t="s">
        <v>3</v>
      </c>
    </row>
    <row r="5" spans="1:4">
      <c r="A5" t="s">
        <v>6</v>
      </c>
      <c r="C5">
        <v>3</v>
      </c>
    </row>
    <row r="6" spans="1:4">
      <c r="A6" t="s">
        <v>220</v>
      </c>
      <c r="C6">
        <v>4</v>
      </c>
    </row>
    <row r="7" spans="1:4">
      <c r="A7" t="s">
        <v>221</v>
      </c>
      <c r="C7">
        <v>20</v>
      </c>
    </row>
    <row r="8" spans="1:4">
      <c r="A8" t="s">
        <v>222</v>
      </c>
      <c r="C8">
        <v>10</v>
      </c>
    </row>
    <row r="9" spans="1:4">
      <c r="A9" t="s">
        <v>223</v>
      </c>
      <c r="C9">
        <v>120</v>
      </c>
    </row>
    <row r="10" spans="1:4">
      <c r="A10" t="s">
        <v>224</v>
      </c>
      <c r="C10">
        <v>148</v>
      </c>
    </row>
    <row r="11" spans="1:4">
      <c r="A11" t="s">
        <v>225</v>
      </c>
      <c r="C11">
        <v>60</v>
      </c>
    </row>
    <row r="12" spans="1:4">
      <c r="A12" t="s">
        <v>226</v>
      </c>
      <c r="C12">
        <v>1048576</v>
      </c>
    </row>
    <row r="14" spans="1:4">
      <c r="A14" t="s">
        <v>227</v>
      </c>
    </row>
    <row r="15" spans="1:4">
      <c r="A15" s="1" t="s">
        <v>228</v>
      </c>
      <c r="B15" s="1" t="s">
        <v>229</v>
      </c>
      <c r="C15" s="1" t="s">
        <v>230</v>
      </c>
      <c r="D15" s="1" t="s">
        <v>4</v>
      </c>
    </row>
    <row r="16" spans="1:4">
      <c r="A16" t="s">
        <v>231</v>
      </c>
      <c r="B16">
        <f>C6*C7</f>
        <v>80</v>
      </c>
      <c r="C16">
        <f t="shared" ref="C16:C27" si="0">B16</f>
        <v>80</v>
      </c>
      <c r="D16" t="s">
        <v>8</v>
      </c>
    </row>
    <row r="17" spans="1:4">
      <c r="A17" t="s">
        <v>232</v>
      </c>
      <c r="B17">
        <f>60/C8</f>
        <v>6</v>
      </c>
      <c r="C17">
        <f t="shared" si="0"/>
        <v>6</v>
      </c>
      <c r="D17" t="s">
        <v>25</v>
      </c>
    </row>
    <row r="18" spans="1:4">
      <c r="A18" t="s">
        <v>233</v>
      </c>
      <c r="B18">
        <f>C17*1440</f>
        <v>8640</v>
      </c>
      <c r="C18">
        <f t="shared" si="0"/>
        <v>8640</v>
      </c>
      <c r="D18" t="s">
        <v>8</v>
      </c>
    </row>
    <row r="19" spans="1:4">
      <c r="A19" t="s">
        <v>234</v>
      </c>
      <c r="B19">
        <f>C18*C16</f>
        <v>691200</v>
      </c>
      <c r="C19">
        <f t="shared" si="0"/>
        <v>691200</v>
      </c>
      <c r="D19" t="s">
        <v>8</v>
      </c>
    </row>
    <row r="20" spans="1:4">
      <c r="A20" t="s">
        <v>235</v>
      </c>
      <c r="B20">
        <f>C19*C9</f>
        <v>82944000</v>
      </c>
      <c r="C20">
        <f t="shared" si="0"/>
        <v>82944000</v>
      </c>
      <c r="D20" t="s">
        <v>28</v>
      </c>
    </row>
    <row r="21" spans="1:4">
      <c r="A21" t="s">
        <v>236</v>
      </c>
      <c r="B21">
        <f>C20/1024/1024</f>
        <v>79.1015625</v>
      </c>
      <c r="C21">
        <f t="shared" si="0"/>
        <v>79.1015625</v>
      </c>
      <c r="D21" t="s">
        <v>237</v>
      </c>
    </row>
    <row r="22" spans="1:4">
      <c r="A22" t="s">
        <v>238</v>
      </c>
      <c r="B22">
        <f>C21*30/1024</f>
        <v>2.31742858886719</v>
      </c>
      <c r="C22">
        <f t="shared" si="0"/>
        <v>2.31742858886719</v>
      </c>
      <c r="D22" t="s">
        <v>52</v>
      </c>
    </row>
    <row r="23" spans="1:4">
      <c r="A23" t="s">
        <v>239</v>
      </c>
      <c r="B23">
        <f>C19*C5</f>
        <v>2073600</v>
      </c>
      <c r="C23">
        <f t="shared" si="0"/>
        <v>2073600</v>
      </c>
      <c r="D23" t="s">
        <v>8</v>
      </c>
    </row>
    <row r="24" spans="1:4">
      <c r="A24" t="s">
        <v>240</v>
      </c>
      <c r="B24">
        <f>C21*365*C5/1024</f>
        <v>84.5861434936523</v>
      </c>
      <c r="C24">
        <f t="shared" si="0"/>
        <v>84.5861434936523</v>
      </c>
      <c r="D24" t="s">
        <v>52</v>
      </c>
    </row>
    <row r="25" spans="1:4">
      <c r="A25" t="s">
        <v>241</v>
      </c>
      <c r="B25">
        <f>C19*C10</f>
        <v>102297600</v>
      </c>
      <c r="C25">
        <f t="shared" si="0"/>
        <v>102297600</v>
      </c>
      <c r="D25" t="s">
        <v>28</v>
      </c>
    </row>
    <row r="26" spans="1:4">
      <c r="A26" t="s">
        <v>242</v>
      </c>
      <c r="B26">
        <f>C25/1024/1024</f>
        <v>97.55859375</v>
      </c>
      <c r="C26">
        <f t="shared" si="0"/>
        <v>97.55859375</v>
      </c>
      <c r="D26" t="s">
        <v>237</v>
      </c>
    </row>
    <row r="27" spans="1:4">
      <c r="A27" t="s">
        <v>243</v>
      </c>
      <c r="B27">
        <f>C26*365*C5/1024</f>
        <v>104.322910308838</v>
      </c>
      <c r="C27">
        <f t="shared" si="0"/>
        <v>104.322910308838</v>
      </c>
      <c r="D27" t="s">
        <v>52</v>
      </c>
    </row>
    <row r="29" spans="1:4">
      <c r="A29" t="s">
        <v>244</v>
      </c>
    </row>
    <row r="30" spans="1:4">
      <c r="A30" s="1" t="s">
        <v>245</v>
      </c>
      <c r="B30" s="1" t="s">
        <v>3</v>
      </c>
      <c r="C30" s="1" t="s">
        <v>4</v>
      </c>
      <c r="D30" s="1" t="s">
        <v>216</v>
      </c>
    </row>
    <row r="31" spans="1:4">
      <c r="A31" t="s">
        <v>246</v>
      </c>
      <c r="B31">
        <v>500</v>
      </c>
      <c r="C31" t="s">
        <v>52</v>
      </c>
      <c r="D31" t="s">
        <v>247</v>
      </c>
    </row>
    <row r="32" spans="1:4">
      <c r="A32" t="s">
        <v>248</v>
      </c>
      <c r="B32">
        <f>C27*0.3</f>
        <v>31.2968730926514</v>
      </c>
      <c r="C32" t="s">
        <v>249</v>
      </c>
      <c r="D32" t="s">
        <v>250</v>
      </c>
    </row>
    <row r="33" spans="1:4">
      <c r="A33" t="s">
        <v>251</v>
      </c>
      <c r="B33">
        <f>C18</f>
        <v>8640</v>
      </c>
      <c r="C33" t="s">
        <v>12</v>
      </c>
      <c r="D33" t="s">
        <v>12</v>
      </c>
    </row>
    <row r="34" spans="1:4">
      <c r="A34" t="s">
        <v>252</v>
      </c>
      <c r="B34">
        <f>C18*C11/1024</f>
        <v>506.25</v>
      </c>
      <c r="C34" t="s">
        <v>253</v>
      </c>
      <c r="D34" t="s">
        <v>12</v>
      </c>
    </row>
    <row r="35" spans="1:4">
      <c r="A35" t="s">
        <v>254</v>
      </c>
      <c r="B35">
        <f>C12/(C18*C11)*24</f>
        <v>48.5451851851852</v>
      </c>
      <c r="C35" t="s">
        <v>255</v>
      </c>
      <c r="D35" t="s">
        <v>256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5" outlineLevelRow="7" outlineLevelCol="4"/>
  <cols>
    <col min="1" max="1" width="39" customWidth="1"/>
    <col min="2" max="2" width="38" customWidth="1"/>
    <col min="3" max="3" width="30" customWidth="1"/>
    <col min="4" max="4" width="25" customWidth="1"/>
    <col min="5" max="5" width="45" customWidth="1"/>
  </cols>
  <sheetData>
    <row r="1" ht="18.75" spans="1:5">
      <c r="A1" s="2" t="s">
        <v>257</v>
      </c>
    </row>
    <row r="3" spans="1:5">
      <c r="A3" s="1" t="s">
        <v>55</v>
      </c>
      <c r="B3" s="1" t="s">
        <v>258</v>
      </c>
      <c r="C3" s="1" t="s">
        <v>259</v>
      </c>
      <c r="D3" s="1" t="s">
        <v>260</v>
      </c>
      <c r="E3" s="1" t="s">
        <v>261</v>
      </c>
    </row>
    <row r="4" ht="45" spans="1:5">
      <c r="A4" s="3">
        <v>1</v>
      </c>
      <c r="B4" s="3" t="s">
        <v>262</v>
      </c>
      <c r="C4" s="3" t="s">
        <v>263</v>
      </c>
      <c r="D4" s="3" t="s">
        <v>264</v>
      </c>
      <c r="E4" s="3" t="s">
        <v>265</v>
      </c>
    </row>
    <row r="5" ht="30" spans="1:5">
      <c r="A5" s="3">
        <v>2</v>
      </c>
      <c r="B5" s="3" t="s">
        <v>266</v>
      </c>
      <c r="C5" s="3" t="s">
        <v>267</v>
      </c>
      <c r="D5" s="3" t="s">
        <v>268</v>
      </c>
      <c r="E5" s="3" t="s">
        <v>269</v>
      </c>
    </row>
    <row r="6" ht="30" spans="1:5">
      <c r="A6" s="3">
        <v>3</v>
      </c>
      <c r="B6" s="3" t="s">
        <v>270</v>
      </c>
      <c r="C6" s="3" t="s">
        <v>271</v>
      </c>
      <c r="D6" s="3" t="s">
        <v>272</v>
      </c>
      <c r="E6" s="3" t="s">
        <v>273</v>
      </c>
    </row>
    <row r="7" ht="30" spans="1:5">
      <c r="A7" s="3">
        <v>4</v>
      </c>
      <c r="B7" s="3" t="s">
        <v>274</v>
      </c>
      <c r="C7" s="3" t="s">
        <v>275</v>
      </c>
      <c r="D7" s="3" t="s">
        <v>276</v>
      </c>
      <c r="E7" s="3" t="s">
        <v>277</v>
      </c>
    </row>
    <row r="8" spans="1:5">
      <c r="A8" s="3">
        <v>5</v>
      </c>
      <c r="B8" s="3" t="s">
        <v>278</v>
      </c>
      <c r="C8" s="3" t="s">
        <v>279</v>
      </c>
      <c r="D8" s="3" t="s">
        <v>280</v>
      </c>
      <c r="E8" s="3" t="s">
        <v>281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9" defaultRowHeight="15" outlineLevelCol="6"/>
  <cols>
    <col min="1" max="1" width="40" customWidth="1"/>
    <col min="2" max="3" width="10" customWidth="1"/>
    <col min="4" max="4" width="27" customWidth="1"/>
    <col min="5" max="5" width="30" customWidth="1"/>
    <col min="6" max="6" width="33" customWidth="1"/>
    <col min="7" max="7" width="15" customWidth="1"/>
  </cols>
  <sheetData>
    <row r="1" ht="18.75" spans="1:7">
      <c r="A1" s="2" t="s">
        <v>282</v>
      </c>
    </row>
    <row r="3" spans="1:7">
      <c r="A3" s="1" t="s">
        <v>283</v>
      </c>
      <c r="B3" s="1" t="s">
        <v>168</v>
      </c>
      <c r="C3" s="1" t="s">
        <v>171</v>
      </c>
      <c r="D3" s="1" t="s">
        <v>284</v>
      </c>
      <c r="E3" s="1" t="s">
        <v>285</v>
      </c>
      <c r="F3" s="1" t="s">
        <v>286</v>
      </c>
      <c r="G3" s="1" t="s">
        <v>287</v>
      </c>
    </row>
    <row r="4" spans="1:7">
      <c r="A4">
        <v>1</v>
      </c>
      <c r="B4">
        <v>0</v>
      </c>
      <c r="C4">
        <v>0.5</v>
      </c>
      <c r="D4" t="s">
        <v>288</v>
      </c>
      <c r="E4" t="s">
        <v>289</v>
      </c>
      <c r="F4" t="s">
        <v>290</v>
      </c>
      <c r="G4" t="s">
        <v>291</v>
      </c>
    </row>
    <row r="5" spans="1:7">
      <c r="A5">
        <v>2</v>
      </c>
      <c r="B5">
        <v>0.5</v>
      </c>
      <c r="C5">
        <v>1</v>
      </c>
      <c r="D5" t="s">
        <v>292</v>
      </c>
      <c r="E5" t="s">
        <v>293</v>
      </c>
      <c r="F5" t="s">
        <v>294</v>
      </c>
      <c r="G5" t="s">
        <v>291</v>
      </c>
    </row>
    <row r="6" spans="1:7">
      <c r="A6">
        <v>3</v>
      </c>
      <c r="B6">
        <v>1</v>
      </c>
      <c r="C6">
        <v>10</v>
      </c>
      <c r="D6" t="s">
        <v>295</v>
      </c>
      <c r="E6" t="s">
        <v>296</v>
      </c>
      <c r="F6" t="s">
        <v>297</v>
      </c>
      <c r="G6" t="s">
        <v>298</v>
      </c>
    </row>
    <row r="7" spans="1:7">
      <c r="A7">
        <v>4</v>
      </c>
      <c r="B7">
        <v>10</v>
      </c>
      <c r="C7">
        <v>50</v>
      </c>
      <c r="D7" t="s">
        <v>299</v>
      </c>
      <c r="E7" t="s">
        <v>300</v>
      </c>
      <c r="F7" t="s">
        <v>301</v>
      </c>
      <c r="G7" t="s">
        <v>302</v>
      </c>
    </row>
    <row r="8" spans="1:7">
      <c r="A8">
        <v>5</v>
      </c>
      <c r="B8">
        <v>50</v>
      </c>
      <c r="C8">
        <v>500</v>
      </c>
      <c r="D8" t="s">
        <v>303</v>
      </c>
      <c r="E8" t="s">
        <v>304</v>
      </c>
      <c r="F8" t="s">
        <v>305</v>
      </c>
      <c r="G8" t="s">
        <v>306</v>
      </c>
    </row>
    <row r="9" spans="1:7">
      <c r="A9">
        <v>6</v>
      </c>
      <c r="B9">
        <v>500</v>
      </c>
      <c r="C9">
        <v>999999</v>
      </c>
      <c r="D9" t="s">
        <v>307</v>
      </c>
      <c r="E9" t="s">
        <v>308</v>
      </c>
      <c r="F9" t="s">
        <v>309</v>
      </c>
      <c r="G9" t="s">
        <v>310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1" sqref="A1"/>
    </sheetView>
  </sheetViews>
  <sheetFormatPr defaultColWidth="9" defaultRowHeight="15" outlineLevelCol="4"/>
  <cols>
    <col min="1" max="1" width="45" customWidth="1"/>
    <col min="2" max="2" width="41" customWidth="1"/>
    <col min="3" max="4" width="16" customWidth="1"/>
    <col min="5" max="5" width="37" customWidth="1"/>
  </cols>
  <sheetData>
    <row r="1" ht="18.75" spans="1:5">
      <c r="A1" s="2" t="s">
        <v>311</v>
      </c>
    </row>
    <row r="3" spans="1:5">
      <c r="A3" s="1" t="s">
        <v>55</v>
      </c>
      <c r="B3" s="1" t="s">
        <v>312</v>
      </c>
      <c r="C3" s="1" t="s">
        <v>313</v>
      </c>
      <c r="D3" s="1" t="s">
        <v>314</v>
      </c>
      <c r="E3" s="1" t="s">
        <v>315</v>
      </c>
    </row>
    <row r="4" spans="1:5">
      <c r="A4">
        <v>1</v>
      </c>
      <c r="B4" t="s">
        <v>316</v>
      </c>
      <c r="C4" t="s">
        <v>317</v>
      </c>
      <c r="D4" t="s">
        <v>318</v>
      </c>
      <c r="E4" t="s">
        <v>319</v>
      </c>
    </row>
    <row r="5" spans="1:5">
      <c r="A5">
        <v>2</v>
      </c>
      <c r="B5" t="s">
        <v>320</v>
      </c>
      <c r="C5" t="s">
        <v>321</v>
      </c>
      <c r="D5" t="s">
        <v>322</v>
      </c>
      <c r="E5" t="s">
        <v>323</v>
      </c>
    </row>
    <row r="6" spans="1:5">
      <c r="A6">
        <v>3</v>
      </c>
      <c r="B6" t="s">
        <v>324</v>
      </c>
      <c r="C6" t="s">
        <v>321</v>
      </c>
      <c r="D6" t="s">
        <v>322</v>
      </c>
      <c r="E6" t="s">
        <v>325</v>
      </c>
    </row>
    <row r="7" spans="1:5">
      <c r="A7">
        <v>4</v>
      </c>
      <c r="B7" t="s">
        <v>326</v>
      </c>
      <c r="C7" t="s">
        <v>321</v>
      </c>
      <c r="D7" t="s">
        <v>327</v>
      </c>
      <c r="E7" t="s">
        <v>328</v>
      </c>
    </row>
    <row r="8" spans="1:5">
      <c r="A8">
        <v>5</v>
      </c>
      <c r="B8" t="s">
        <v>329</v>
      </c>
      <c r="C8" t="s">
        <v>330</v>
      </c>
      <c r="D8" t="s">
        <v>327</v>
      </c>
      <c r="E8" t="s">
        <v>331</v>
      </c>
    </row>
    <row r="9" spans="1:5">
      <c r="A9">
        <v>6</v>
      </c>
      <c r="B9" t="s">
        <v>332</v>
      </c>
      <c r="C9" t="s">
        <v>317</v>
      </c>
      <c r="D9" t="s">
        <v>333</v>
      </c>
      <c r="E9" t="s">
        <v>334</v>
      </c>
    </row>
    <row r="12" spans="1:5">
      <c r="A12" s="4" t="s">
        <v>335</v>
      </c>
    </row>
    <row r="13" spans="1:5">
      <c r="A13" s="1" t="s">
        <v>140</v>
      </c>
      <c r="B13" s="1" t="s">
        <v>336</v>
      </c>
      <c r="C13" s="1" t="s">
        <v>337</v>
      </c>
      <c r="D13" s="1" t="s">
        <v>338</v>
      </c>
      <c r="E13" s="1" t="s">
        <v>339</v>
      </c>
    </row>
    <row r="14" spans="1:5">
      <c r="A14" t="s">
        <v>88</v>
      </c>
      <c r="B14">
        <v>0.42</v>
      </c>
      <c r="C14">
        <v>0.55</v>
      </c>
      <c r="D14">
        <v>0.48</v>
      </c>
      <c r="E14">
        <f>AVERAGE(B14:D14)</f>
        <v>0.483333333333333</v>
      </c>
    </row>
    <row r="15" spans="1:5">
      <c r="A15" t="s">
        <v>27</v>
      </c>
      <c r="B15">
        <v>0.88</v>
      </c>
      <c r="C15">
        <v>0.92</v>
      </c>
      <c r="D15">
        <v>1.05</v>
      </c>
      <c r="E15">
        <f>AVERAGE(B15:D15)</f>
        <v>0.95</v>
      </c>
    </row>
    <row r="16" spans="1:5">
      <c r="A16" t="s">
        <v>340</v>
      </c>
      <c r="B16">
        <v>0.35</v>
      </c>
      <c r="C16">
        <v>0.4</v>
      </c>
      <c r="D16">
        <v>0.38</v>
      </c>
      <c r="E16">
        <f>AVERAGE(B16:D16)</f>
        <v>0.376666666666667</v>
      </c>
    </row>
    <row r="20" spans="1:2">
      <c r="A20" s="4" t="s">
        <v>341</v>
      </c>
    </row>
    <row r="21" spans="1:2">
      <c r="A21" s="1" t="s">
        <v>284</v>
      </c>
      <c r="B21" s="1" t="s">
        <v>260</v>
      </c>
    </row>
    <row r="22" spans="1:2">
      <c r="A22" t="s">
        <v>288</v>
      </c>
      <c r="B22">
        <v>45000</v>
      </c>
    </row>
    <row r="23" spans="1:2">
      <c r="A23" t="s">
        <v>342</v>
      </c>
      <c r="B23">
        <v>12000</v>
      </c>
    </row>
    <row r="24" spans="1:2">
      <c r="A24" t="s">
        <v>343</v>
      </c>
      <c r="B24">
        <v>2800</v>
      </c>
    </row>
    <row r="25" spans="1:2">
      <c r="A25" t="s">
        <v>299</v>
      </c>
      <c r="B25">
        <v>150</v>
      </c>
    </row>
    <row r="26" spans="1:2">
      <c r="A26" t="s">
        <v>303</v>
      </c>
      <c r="B26">
        <v>12</v>
      </c>
    </row>
    <row r="27" spans="1:2">
      <c r="A27" t="s">
        <v>344</v>
      </c>
      <c r="B27">
        <v>0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5" outlineLevelCol="3"/>
  <cols>
    <col min="1" max="1" width="44" customWidth="1"/>
    <col min="2" max="2" width="37" customWidth="1"/>
    <col min="3" max="3" width="20" customWidth="1"/>
    <col min="4" max="4" width="45" customWidth="1"/>
  </cols>
  <sheetData>
    <row r="1" ht="18.75" spans="1:4">
      <c r="A1" s="2" t="s">
        <v>345</v>
      </c>
    </row>
    <row r="3" spans="1:4">
      <c r="A3" s="1" t="s">
        <v>55</v>
      </c>
      <c r="B3" s="1" t="s">
        <v>346</v>
      </c>
      <c r="C3" s="1" t="s">
        <v>5</v>
      </c>
      <c r="D3" s="1" t="s">
        <v>347</v>
      </c>
    </row>
    <row r="4" ht="30" spans="1:4">
      <c r="A4" s="3">
        <v>1</v>
      </c>
      <c r="B4" s="3" t="s">
        <v>348</v>
      </c>
      <c r="C4" s="3" t="s">
        <v>349</v>
      </c>
      <c r="D4" s="3" t="s">
        <v>350</v>
      </c>
    </row>
    <row r="5" ht="30" spans="1:4">
      <c r="A5" s="3">
        <v>2</v>
      </c>
      <c r="B5" s="3" t="s">
        <v>351</v>
      </c>
      <c r="C5" s="3" t="s">
        <v>352</v>
      </c>
      <c r="D5" s="3" t="s">
        <v>353</v>
      </c>
    </row>
    <row r="6" spans="1:4">
      <c r="A6" s="3">
        <v>3</v>
      </c>
      <c r="B6" s="3" t="s">
        <v>354</v>
      </c>
      <c r="C6" s="3" t="s">
        <v>355</v>
      </c>
      <c r="D6" s="3" t="s">
        <v>356</v>
      </c>
    </row>
    <row r="7" spans="1:4">
      <c r="A7" s="3">
        <v>4</v>
      </c>
      <c r="B7" s="3" t="s">
        <v>357</v>
      </c>
      <c r="C7" s="3" t="s">
        <v>358</v>
      </c>
      <c r="D7" s="3" t="s">
        <v>359</v>
      </c>
    </row>
    <row r="8" spans="1:4">
      <c r="A8" s="3">
        <v>5</v>
      </c>
      <c r="B8" s="3" t="s">
        <v>360</v>
      </c>
      <c r="C8" s="3" t="s">
        <v>361</v>
      </c>
      <c r="D8" s="3" t="s">
        <v>362</v>
      </c>
    </row>
    <row r="9" spans="1:4">
      <c r="A9" s="3">
        <v>6</v>
      </c>
      <c r="B9" s="3" t="s">
        <v>363</v>
      </c>
      <c r="C9" s="3" t="s">
        <v>364</v>
      </c>
      <c r="D9" s="3" t="s">
        <v>365</v>
      </c>
    </row>
    <row r="10" spans="1:4">
      <c r="A10" s="3">
        <v>7</v>
      </c>
      <c r="B10" s="3" t="s">
        <v>366</v>
      </c>
      <c r="C10" s="3" t="s">
        <v>367</v>
      </c>
      <c r="D10" s="3" t="s">
        <v>368</v>
      </c>
    </row>
    <row r="11" spans="1:4">
      <c r="A11" s="3">
        <v>8</v>
      </c>
      <c r="B11" s="3" t="s">
        <v>369</v>
      </c>
      <c r="C11" s="3" t="s">
        <v>165</v>
      </c>
      <c r="D11" s="3" t="s">
        <v>370</v>
      </c>
    </row>
    <row r="12" spans="1:4">
      <c r="A12" s="3">
        <v>9</v>
      </c>
      <c r="B12" s="3" t="s">
        <v>371</v>
      </c>
      <c r="C12" s="3" t="s">
        <v>372</v>
      </c>
      <c r="D12" s="3" t="s">
        <v>373</v>
      </c>
    </row>
    <row r="13" spans="1:4">
      <c r="A13" s="3">
        <v>10</v>
      </c>
      <c r="B13" s="3" t="s">
        <v>374</v>
      </c>
      <c r="C13" s="3" t="s">
        <v>15</v>
      </c>
      <c r="D13" s="3" t="s">
        <v>375</v>
      </c>
    </row>
    <row r="14" spans="1:4">
      <c r="A14" s="3">
        <v>11</v>
      </c>
      <c r="B14" s="3" t="s">
        <v>376</v>
      </c>
      <c r="C14" s="3" t="s">
        <v>377</v>
      </c>
      <c r="D14" s="3" t="s">
        <v>378</v>
      </c>
    </row>
    <row r="15" spans="1:4">
      <c r="A15" s="3">
        <v>12</v>
      </c>
      <c r="B15" s="3" t="s">
        <v>193</v>
      </c>
      <c r="C15" s="3" t="s">
        <v>379</v>
      </c>
      <c r="D15" s="3" t="s">
        <v>380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" defaultRowHeight="15" outlineLevelCol="3"/>
  <cols>
    <col min="1" max="1" width="45" customWidth="1"/>
    <col min="2" max="2" width="34" customWidth="1"/>
    <col min="3" max="3" width="45" customWidth="1"/>
    <col min="4" max="4" width="33" customWidth="1"/>
  </cols>
  <sheetData>
    <row r="1" ht="18.75" spans="1:4">
      <c r="A1" s="2" t="s">
        <v>381</v>
      </c>
    </row>
    <row r="3" spans="1:4">
      <c r="A3" s="1" t="s">
        <v>55</v>
      </c>
      <c r="B3" s="1" t="s">
        <v>382</v>
      </c>
      <c r="C3" s="1" t="s">
        <v>5</v>
      </c>
      <c r="D3" s="1" t="s">
        <v>383</v>
      </c>
    </row>
    <row r="4" ht="30" spans="1:4">
      <c r="A4" s="3">
        <v>1</v>
      </c>
      <c r="B4" s="3" t="s">
        <v>384</v>
      </c>
      <c r="C4" s="3" t="s">
        <v>385</v>
      </c>
      <c r="D4" s="3" t="s">
        <v>386</v>
      </c>
    </row>
    <row r="5" spans="1:4">
      <c r="A5" s="3">
        <v>2</v>
      </c>
      <c r="B5" s="3" t="s">
        <v>387</v>
      </c>
      <c r="C5" s="3" t="s">
        <v>388</v>
      </c>
      <c r="D5" s="3" t="s">
        <v>389</v>
      </c>
    </row>
    <row r="6" spans="1:4">
      <c r="A6" s="3">
        <v>3</v>
      </c>
      <c r="B6" s="3" t="s">
        <v>390</v>
      </c>
      <c r="C6" s="3" t="s">
        <v>391</v>
      </c>
      <c r="D6" s="3" t="s">
        <v>392</v>
      </c>
    </row>
    <row r="7" spans="1:4">
      <c r="A7" s="3">
        <v>4</v>
      </c>
      <c r="B7" s="3" t="s">
        <v>393</v>
      </c>
      <c r="C7" s="3" t="s">
        <v>394</v>
      </c>
      <c r="D7" s="3" t="s">
        <v>395</v>
      </c>
    </row>
    <row r="8" spans="1:4">
      <c r="A8" s="3">
        <v>5</v>
      </c>
      <c r="B8" s="3" t="s">
        <v>396</v>
      </c>
      <c r="C8" s="3" t="s">
        <v>397</v>
      </c>
      <c r="D8" s="3" t="s">
        <v>398</v>
      </c>
    </row>
    <row r="9" spans="1:4">
      <c r="A9" s="3">
        <v>6</v>
      </c>
      <c r="B9" s="3" t="s">
        <v>399</v>
      </c>
      <c r="C9" s="3" t="s">
        <v>400</v>
      </c>
      <c r="D9" s="3" t="s">
        <v>401</v>
      </c>
    </row>
    <row r="10" spans="1:4">
      <c r="A10" s="3">
        <v>7</v>
      </c>
      <c r="B10" s="3" t="s">
        <v>402</v>
      </c>
      <c r="C10" s="3" t="s">
        <v>403</v>
      </c>
      <c r="D10" s="3" t="s">
        <v>404</v>
      </c>
    </row>
    <row r="11" spans="1:4">
      <c r="A11" s="3">
        <v>8</v>
      </c>
      <c r="B11" s="3" t="s">
        <v>405</v>
      </c>
      <c r="C11" s="3" t="s">
        <v>406</v>
      </c>
      <c r="D11" s="3" t="s">
        <v>407</v>
      </c>
    </row>
    <row r="12" spans="1:4">
      <c r="A12" s="3">
        <v>9</v>
      </c>
      <c r="B12" s="3" t="s">
        <v>408</v>
      </c>
      <c r="C12" s="3" t="s">
        <v>9</v>
      </c>
      <c r="D12" s="3" t="s">
        <v>409</v>
      </c>
    </row>
    <row r="13" spans="1:4">
      <c r="A13" s="3">
        <v>10</v>
      </c>
      <c r="B13" s="3" t="s">
        <v>410</v>
      </c>
      <c r="C13" s="3" t="s">
        <v>411</v>
      </c>
      <c r="D13" s="3" t="s">
        <v>412</v>
      </c>
    </row>
    <row r="14" spans="1:4">
      <c r="A14" s="3">
        <v>11</v>
      </c>
      <c r="B14" s="3" t="s">
        <v>413</v>
      </c>
      <c r="C14" s="3" t="s">
        <v>414</v>
      </c>
      <c r="D14" s="3" t="s">
        <v>415</v>
      </c>
    </row>
    <row r="15" spans="1:4">
      <c r="A15" s="3">
        <v>12</v>
      </c>
      <c r="B15" s="3" t="s">
        <v>416</v>
      </c>
      <c r="C15" s="3" t="s">
        <v>417</v>
      </c>
      <c r="D15" s="3" t="s">
        <v>418</v>
      </c>
    </row>
    <row r="16" spans="1:4">
      <c r="A16" s="3">
        <v>13</v>
      </c>
      <c r="B16" s="3" t="s">
        <v>419</v>
      </c>
      <c r="C16" s="3" t="s">
        <v>420</v>
      </c>
      <c r="D16" s="3" t="s">
        <v>421</v>
      </c>
    </row>
    <row r="17" spans="1:4">
      <c r="A17" s="3">
        <v>14</v>
      </c>
      <c r="B17" s="3" t="s">
        <v>422</v>
      </c>
      <c r="C17" s="3" t="s">
        <v>423</v>
      </c>
      <c r="D17" s="3" t="s">
        <v>424</v>
      </c>
    </row>
    <row r="18" spans="1:4">
      <c r="A18" s="3">
        <v>15</v>
      </c>
      <c r="B18" s="3" t="s">
        <v>425</v>
      </c>
      <c r="C18" s="3" t="s">
        <v>426</v>
      </c>
      <c r="D18" s="3" t="s">
        <v>427</v>
      </c>
    </row>
    <row r="19" spans="1:4">
      <c r="A19" s="3">
        <v>16</v>
      </c>
      <c r="B19" s="3" t="s">
        <v>428</v>
      </c>
      <c r="C19" s="3" t="s">
        <v>429</v>
      </c>
      <c r="D19" s="3" t="s">
        <v>430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"/>
    </sheetView>
  </sheetViews>
  <sheetFormatPr defaultColWidth="9" defaultRowHeight="15" outlineLevelCol="3"/>
  <cols>
    <col min="1" max="1" width="45" customWidth="1"/>
    <col min="2" max="2" width="38" customWidth="1"/>
    <col min="3" max="3" width="13" customWidth="1"/>
    <col min="4" max="4" width="22" customWidth="1"/>
  </cols>
  <sheetData>
    <row r="1" ht="18.75" spans="1:4">
      <c r="A1" s="2" t="s">
        <v>431</v>
      </c>
    </row>
    <row r="3" spans="1:4">
      <c r="A3" s="1" t="s">
        <v>55</v>
      </c>
      <c r="B3" s="1" t="s">
        <v>432</v>
      </c>
      <c r="C3" s="1" t="s">
        <v>433</v>
      </c>
      <c r="D3" s="1" t="s">
        <v>434</v>
      </c>
    </row>
    <row r="4" spans="1:4">
      <c r="A4">
        <v>1</v>
      </c>
      <c r="B4" t="s">
        <v>435</v>
      </c>
      <c r="C4" t="s">
        <v>436</v>
      </c>
      <c r="D4" t="s">
        <v>437</v>
      </c>
    </row>
    <row r="5" spans="1:4">
      <c r="A5">
        <v>2</v>
      </c>
      <c r="B5" t="s">
        <v>438</v>
      </c>
      <c r="C5" t="s">
        <v>436</v>
      </c>
      <c r="D5" t="s">
        <v>439</v>
      </c>
    </row>
    <row r="6" spans="1:4">
      <c r="A6">
        <v>3</v>
      </c>
      <c r="B6" t="s">
        <v>440</v>
      </c>
      <c r="C6" t="s">
        <v>436</v>
      </c>
      <c r="D6" t="s">
        <v>441</v>
      </c>
    </row>
    <row r="7" spans="1:4">
      <c r="A7">
        <v>4</v>
      </c>
      <c r="B7" t="s">
        <v>442</v>
      </c>
      <c r="C7" t="s">
        <v>436</v>
      </c>
      <c r="D7" t="s">
        <v>443</v>
      </c>
    </row>
    <row r="8" spans="1:4">
      <c r="A8">
        <v>5</v>
      </c>
      <c r="B8" t="s">
        <v>444</v>
      </c>
      <c r="C8" t="s">
        <v>445</v>
      </c>
      <c r="D8" t="s">
        <v>443</v>
      </c>
    </row>
    <row r="9" spans="1:4">
      <c r="A9">
        <v>6</v>
      </c>
      <c r="B9" t="s">
        <v>446</v>
      </c>
      <c r="C9" t="s">
        <v>436</v>
      </c>
      <c r="D9" t="s">
        <v>447</v>
      </c>
    </row>
    <row r="10" spans="1:4">
      <c r="A10">
        <v>7</v>
      </c>
      <c r="B10" t="s">
        <v>448</v>
      </c>
      <c r="C10" t="s">
        <v>436</v>
      </c>
      <c r="D10" t="s">
        <v>449</v>
      </c>
    </row>
    <row r="11" spans="1:4">
      <c r="A11">
        <v>8</v>
      </c>
      <c r="B11" t="s">
        <v>450</v>
      </c>
      <c r="C11" t="s">
        <v>436</v>
      </c>
      <c r="D11" t="s">
        <v>451</v>
      </c>
    </row>
    <row r="12" spans="1:4">
      <c r="A12">
        <v>9</v>
      </c>
      <c r="B12" t="s">
        <v>452</v>
      </c>
      <c r="C12" t="s">
        <v>436</v>
      </c>
      <c r="D12" t="s">
        <v>453</v>
      </c>
    </row>
    <row r="13" spans="1:4">
      <c r="A13">
        <v>10</v>
      </c>
      <c r="B13" t="s">
        <v>416</v>
      </c>
      <c r="C13" t="s">
        <v>436</v>
      </c>
      <c r="D13" t="s">
        <v>454</v>
      </c>
    </row>
    <row r="14" spans="1:4">
      <c r="A14">
        <v>11</v>
      </c>
      <c r="B14" t="s">
        <v>455</v>
      </c>
      <c r="C14" t="s">
        <v>436</v>
      </c>
      <c r="D14" t="s">
        <v>456</v>
      </c>
    </row>
    <row r="15" spans="1:4">
      <c r="A15">
        <v>12</v>
      </c>
      <c r="B15" t="s">
        <v>457</v>
      </c>
      <c r="C15" t="s">
        <v>436</v>
      </c>
      <c r="D15" t="s">
        <v>458</v>
      </c>
    </row>
    <row r="16" spans="1:4">
      <c r="A16">
        <v>13</v>
      </c>
      <c r="B16" t="s">
        <v>459</v>
      </c>
      <c r="C16" t="s">
        <v>436</v>
      </c>
      <c r="D16" t="s">
        <v>460</v>
      </c>
    </row>
    <row r="17" spans="1:4">
      <c r="A17">
        <v>14</v>
      </c>
      <c r="B17" t="s">
        <v>461</v>
      </c>
      <c r="C17" t="s">
        <v>436</v>
      </c>
      <c r="D17" t="s">
        <v>462</v>
      </c>
    </row>
    <row r="18" spans="1:4">
      <c r="A18">
        <v>15</v>
      </c>
      <c r="B18" t="s">
        <v>463</v>
      </c>
      <c r="C18" t="s">
        <v>436</v>
      </c>
      <c r="D18" t="s">
        <v>464</v>
      </c>
    </row>
    <row r="19" spans="1:4">
      <c r="A19">
        <v>16</v>
      </c>
      <c r="B19" t="s">
        <v>465</v>
      </c>
      <c r="C19" t="s">
        <v>436</v>
      </c>
      <c r="D19" t="s">
        <v>466</v>
      </c>
    </row>
    <row r="20" spans="1:4">
      <c r="A20">
        <v>17</v>
      </c>
      <c r="B20" t="s">
        <v>467</v>
      </c>
      <c r="C20" t="s">
        <v>436</v>
      </c>
      <c r="D20" t="s">
        <v>468</v>
      </c>
    </row>
    <row r="21" spans="1:4">
      <c r="A21">
        <v>18</v>
      </c>
      <c r="B21" t="s">
        <v>469</v>
      </c>
      <c r="C21" t="s">
        <v>436</v>
      </c>
      <c r="D21" t="s">
        <v>470</v>
      </c>
    </row>
    <row r="22" spans="1:4">
      <c r="A22">
        <v>19</v>
      </c>
      <c r="B22" t="s">
        <v>471</v>
      </c>
      <c r="C22" t="s">
        <v>436</v>
      </c>
      <c r="D22" t="s">
        <v>472</v>
      </c>
    </row>
    <row r="23" spans="1:4">
      <c r="A23">
        <v>20</v>
      </c>
      <c r="B23" t="s">
        <v>473</v>
      </c>
      <c r="C23" t="s">
        <v>445</v>
      </c>
      <c r="D23" t="s">
        <v>474</v>
      </c>
    </row>
    <row r="24" spans="1:4">
      <c r="A24">
        <v>21</v>
      </c>
      <c r="B24" t="s">
        <v>475</v>
      </c>
      <c r="C24" t="s">
        <v>436</v>
      </c>
      <c r="D24" t="s">
        <v>476</v>
      </c>
    </row>
    <row r="25" spans="1:4">
      <c r="A25">
        <v>22</v>
      </c>
      <c r="B25" t="s">
        <v>477</v>
      </c>
      <c r="C25" t="s">
        <v>436</v>
      </c>
      <c r="D25" t="s">
        <v>478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5" outlineLevelRow="2"/>
  <cols>
    <col min="1" max="1" width="120" customWidth="1"/>
  </cols>
  <sheetData>
    <row r="1" ht="18.75" spans="1:1">
      <c r="A1" s="2" t="s">
        <v>479</v>
      </c>
    </row>
    <row r="3" ht="400" customHeight="1" spans="1:1">
      <c r="A3" s="3" t="s">
        <v>480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1" sqref="A1"/>
    </sheetView>
  </sheetViews>
  <sheetFormatPr defaultColWidth="9" defaultRowHeight="15"/>
  <cols>
    <col min="1" max="1" width="43" customWidth="1"/>
    <col min="2" max="2" width="12" customWidth="1"/>
    <col min="3" max="3" width="10" customWidth="1"/>
    <col min="4" max="4" width="11" customWidth="1"/>
    <col min="5" max="5" width="10" customWidth="1"/>
    <col min="6" max="6" width="12" customWidth="1"/>
    <col min="7" max="7" width="10" customWidth="1"/>
    <col min="8" max="8" width="12" customWidth="1"/>
    <col min="9" max="9" width="18" customWidth="1"/>
  </cols>
  <sheetData>
    <row r="1" spans="1:9">
      <c r="A1" t="s">
        <v>481</v>
      </c>
    </row>
    <row r="3" spans="1:9">
      <c r="A3" s="1" t="s">
        <v>61</v>
      </c>
      <c r="B3" s="1" t="s">
        <v>67</v>
      </c>
      <c r="C3" s="1" t="s">
        <v>72</v>
      </c>
      <c r="D3" s="1" t="s">
        <v>77</v>
      </c>
      <c r="E3" s="1" t="s">
        <v>81</v>
      </c>
      <c r="F3" s="1" t="s">
        <v>85</v>
      </c>
      <c r="G3" s="1" t="s">
        <v>90</v>
      </c>
      <c r="H3" s="1" t="s">
        <v>95</v>
      </c>
      <c r="I3" s="1" t="s">
        <v>112</v>
      </c>
    </row>
    <row r="4" spans="1:9">
      <c r="A4">
        <v>1.6981</v>
      </c>
      <c r="B4" t="s">
        <v>70</v>
      </c>
      <c r="C4" t="s">
        <v>482</v>
      </c>
      <c r="D4" t="s">
        <v>483</v>
      </c>
      <c r="E4" t="s">
        <v>484</v>
      </c>
      <c r="F4" t="s">
        <v>88</v>
      </c>
      <c r="G4">
        <v>6.244203</v>
      </c>
      <c r="H4">
        <v>-75.581211</v>
      </c>
      <c r="I4">
        <v>3</v>
      </c>
    </row>
    <row r="5" spans="1:9">
      <c r="A5">
        <v>1.2102</v>
      </c>
      <c r="B5" t="s">
        <v>70</v>
      </c>
      <c r="C5" t="s">
        <v>485</v>
      </c>
      <c r="D5" t="s">
        <v>486</v>
      </c>
      <c r="E5" t="s">
        <v>487</v>
      </c>
      <c r="F5" t="s">
        <v>27</v>
      </c>
      <c r="G5">
        <v>6.244203</v>
      </c>
      <c r="H5">
        <v>-75.581211</v>
      </c>
      <c r="I5">
        <v>3</v>
      </c>
    </row>
    <row r="6" spans="1:9">
      <c r="A6">
        <v>2.4563</v>
      </c>
      <c r="B6" t="s">
        <v>70</v>
      </c>
      <c r="C6" t="s">
        <v>488</v>
      </c>
      <c r="D6" t="s">
        <v>486</v>
      </c>
      <c r="E6" t="s">
        <v>487</v>
      </c>
      <c r="F6" t="s">
        <v>27</v>
      </c>
      <c r="G6">
        <v>6.244203</v>
      </c>
      <c r="H6">
        <v>-75.581211</v>
      </c>
      <c r="I6">
        <v>3</v>
      </c>
    </row>
    <row r="7" spans="1:9">
      <c r="A7">
        <v>1.4759</v>
      </c>
      <c r="B7" t="s">
        <v>70</v>
      </c>
      <c r="C7" t="s">
        <v>489</v>
      </c>
      <c r="D7" t="s">
        <v>79</v>
      </c>
      <c r="E7" t="s">
        <v>83</v>
      </c>
      <c r="F7" t="s">
        <v>88</v>
      </c>
      <c r="G7">
        <v>6.244203</v>
      </c>
      <c r="H7">
        <v>-75.581211</v>
      </c>
      <c r="I7">
        <v>3</v>
      </c>
    </row>
    <row r="8" spans="1:9">
      <c r="A8">
        <v>0.4798</v>
      </c>
      <c r="B8" t="s">
        <v>70</v>
      </c>
      <c r="C8" t="s">
        <v>490</v>
      </c>
      <c r="D8" t="s">
        <v>486</v>
      </c>
      <c r="E8" t="s">
        <v>487</v>
      </c>
      <c r="F8" t="s">
        <v>27</v>
      </c>
      <c r="G8">
        <v>6.244203</v>
      </c>
      <c r="H8">
        <v>-75.581211</v>
      </c>
      <c r="I8">
        <v>1</v>
      </c>
    </row>
    <row r="9" spans="1:9">
      <c r="A9">
        <v>1.3832</v>
      </c>
      <c r="B9" t="s">
        <v>70</v>
      </c>
      <c r="C9" t="s">
        <v>491</v>
      </c>
      <c r="D9" t="s">
        <v>483</v>
      </c>
      <c r="E9" t="s">
        <v>484</v>
      </c>
      <c r="F9" t="s">
        <v>88</v>
      </c>
      <c r="G9">
        <v>6.244203</v>
      </c>
      <c r="H9">
        <v>-75.581211</v>
      </c>
      <c r="I9">
        <v>3</v>
      </c>
    </row>
    <row r="10" spans="1:9">
      <c r="A10">
        <v>2.1735</v>
      </c>
      <c r="B10" t="s">
        <v>70</v>
      </c>
      <c r="C10" t="s">
        <v>490</v>
      </c>
      <c r="D10" t="s">
        <v>486</v>
      </c>
      <c r="E10" t="s">
        <v>487</v>
      </c>
      <c r="F10" t="s">
        <v>27</v>
      </c>
      <c r="G10">
        <v>6.244203</v>
      </c>
      <c r="H10">
        <v>-75.581211</v>
      </c>
      <c r="I10">
        <v>3</v>
      </c>
    </row>
    <row r="11" spans="1:9">
      <c r="A11">
        <v>1.6208</v>
      </c>
      <c r="B11" t="s">
        <v>70</v>
      </c>
      <c r="C11" t="s">
        <v>492</v>
      </c>
      <c r="D11" t="s">
        <v>79</v>
      </c>
      <c r="E11" t="s">
        <v>83</v>
      </c>
      <c r="F11" t="s">
        <v>88</v>
      </c>
      <c r="G11">
        <v>6.244203</v>
      </c>
      <c r="H11">
        <v>-75.581211</v>
      </c>
      <c r="I11">
        <v>3</v>
      </c>
    </row>
    <row r="12" spans="1:9">
      <c r="A12">
        <v>1.1521</v>
      </c>
      <c r="B12" t="s">
        <v>70</v>
      </c>
      <c r="C12" t="s">
        <v>493</v>
      </c>
      <c r="D12" t="s">
        <v>486</v>
      </c>
      <c r="E12" t="s">
        <v>487</v>
      </c>
      <c r="F12" t="s">
        <v>27</v>
      </c>
      <c r="G12">
        <v>6.244203</v>
      </c>
      <c r="H12">
        <v>-75.581211</v>
      </c>
      <c r="I12">
        <v>3</v>
      </c>
    </row>
    <row r="13" spans="1:9">
      <c r="A13">
        <v>0.9606</v>
      </c>
      <c r="B13" t="s">
        <v>70</v>
      </c>
      <c r="C13" t="s">
        <v>494</v>
      </c>
      <c r="D13" t="s">
        <v>483</v>
      </c>
      <c r="E13" t="s">
        <v>484</v>
      </c>
      <c r="F13" t="s">
        <v>88</v>
      </c>
      <c r="G13">
        <v>6.244203</v>
      </c>
      <c r="H13">
        <v>-75.581211</v>
      </c>
      <c r="I13">
        <v>2</v>
      </c>
    </row>
    <row r="14" spans="1:9">
      <c r="A14">
        <v>0.6469</v>
      </c>
      <c r="B14" t="s">
        <v>70</v>
      </c>
      <c r="C14" t="s">
        <v>495</v>
      </c>
      <c r="D14" t="s">
        <v>486</v>
      </c>
      <c r="E14" t="s">
        <v>487</v>
      </c>
      <c r="F14" t="s">
        <v>27</v>
      </c>
      <c r="G14">
        <v>6.244203</v>
      </c>
      <c r="H14">
        <v>-75.581211</v>
      </c>
      <c r="I14">
        <v>2</v>
      </c>
    </row>
    <row r="15" spans="1:9">
      <c r="A15">
        <v>0.6602</v>
      </c>
      <c r="B15" t="s">
        <v>70</v>
      </c>
      <c r="C15" t="s">
        <v>496</v>
      </c>
      <c r="D15" t="s">
        <v>483</v>
      </c>
      <c r="E15" t="s">
        <v>484</v>
      </c>
      <c r="F15" t="s">
        <v>88</v>
      </c>
      <c r="G15">
        <v>6.244203</v>
      </c>
      <c r="H15">
        <v>-75.581211</v>
      </c>
      <c r="I15">
        <v>2</v>
      </c>
    </row>
    <row r="16" spans="1:9">
      <c r="A16">
        <v>0.3763</v>
      </c>
      <c r="B16" t="s">
        <v>70</v>
      </c>
      <c r="C16" t="s">
        <v>497</v>
      </c>
      <c r="D16" t="s">
        <v>483</v>
      </c>
      <c r="E16" t="s">
        <v>484</v>
      </c>
      <c r="F16" t="s">
        <v>88</v>
      </c>
      <c r="G16">
        <v>6.244203</v>
      </c>
      <c r="H16">
        <v>-75.581211</v>
      </c>
      <c r="I16">
        <v>1</v>
      </c>
    </row>
    <row r="17" spans="1:9">
      <c r="A17">
        <v>2.0882</v>
      </c>
      <c r="B17" t="s">
        <v>70</v>
      </c>
      <c r="C17" t="s">
        <v>498</v>
      </c>
      <c r="D17" t="s">
        <v>483</v>
      </c>
      <c r="E17" t="s">
        <v>484</v>
      </c>
      <c r="F17" t="s">
        <v>88</v>
      </c>
      <c r="G17">
        <v>6.244203</v>
      </c>
      <c r="H17">
        <v>-75.581211</v>
      </c>
      <c r="I17">
        <v>3</v>
      </c>
    </row>
    <row r="18" spans="1:9">
      <c r="A18">
        <v>0.6411</v>
      </c>
      <c r="B18" t="s">
        <v>70</v>
      </c>
      <c r="C18" t="s">
        <v>499</v>
      </c>
      <c r="D18" t="s">
        <v>79</v>
      </c>
      <c r="E18" t="s">
        <v>83</v>
      </c>
      <c r="F18" t="s">
        <v>88</v>
      </c>
      <c r="G18">
        <v>6.244203</v>
      </c>
      <c r="H18">
        <v>-75.581211</v>
      </c>
      <c r="I18">
        <v>2</v>
      </c>
    </row>
    <row r="19" spans="1:9">
      <c r="A19">
        <v>2.47</v>
      </c>
      <c r="B19" t="s">
        <v>70</v>
      </c>
      <c r="C19" t="s">
        <v>500</v>
      </c>
      <c r="D19" t="s">
        <v>486</v>
      </c>
      <c r="E19" t="s">
        <v>487</v>
      </c>
      <c r="F19" t="s">
        <v>27</v>
      </c>
      <c r="G19">
        <v>6.244203</v>
      </c>
      <c r="H19">
        <v>-75.581211</v>
      </c>
      <c r="I19">
        <v>3</v>
      </c>
    </row>
    <row r="20" spans="1:9">
      <c r="A20">
        <v>1.4146</v>
      </c>
      <c r="B20" t="s">
        <v>70</v>
      </c>
      <c r="C20" t="s">
        <v>501</v>
      </c>
      <c r="D20" t="s">
        <v>79</v>
      </c>
      <c r="E20" t="s">
        <v>83</v>
      </c>
      <c r="F20" t="s">
        <v>88</v>
      </c>
      <c r="G20">
        <v>6.244203</v>
      </c>
      <c r="H20">
        <v>-75.581211</v>
      </c>
      <c r="I20">
        <v>3</v>
      </c>
    </row>
    <row r="21" spans="1:9">
      <c r="A21">
        <v>2.0488</v>
      </c>
      <c r="B21" t="s">
        <v>70</v>
      </c>
      <c r="C21" t="s">
        <v>502</v>
      </c>
      <c r="D21" t="s">
        <v>79</v>
      </c>
      <c r="E21" t="s">
        <v>83</v>
      </c>
      <c r="F21" t="s">
        <v>88</v>
      </c>
      <c r="G21">
        <v>6.244203</v>
      </c>
      <c r="H21">
        <v>-75.581211</v>
      </c>
      <c r="I21">
        <v>3</v>
      </c>
    </row>
    <row r="22" spans="1:9">
      <c r="A22">
        <v>1.906</v>
      </c>
      <c r="B22" t="s">
        <v>70</v>
      </c>
      <c r="C22" t="s">
        <v>503</v>
      </c>
      <c r="D22" t="s">
        <v>79</v>
      </c>
      <c r="E22" t="s">
        <v>83</v>
      </c>
      <c r="F22" t="s">
        <v>88</v>
      </c>
      <c r="G22">
        <v>6.244203</v>
      </c>
      <c r="H22">
        <v>-75.581211</v>
      </c>
      <c r="I22">
        <v>3</v>
      </c>
    </row>
    <row r="23" spans="1:9">
      <c r="A23">
        <v>0.9356</v>
      </c>
      <c r="B23" t="s">
        <v>70</v>
      </c>
      <c r="C23" t="s">
        <v>504</v>
      </c>
      <c r="D23" t="s">
        <v>79</v>
      </c>
      <c r="E23" t="s">
        <v>83</v>
      </c>
      <c r="F23" t="s">
        <v>88</v>
      </c>
      <c r="G23">
        <v>6.244203</v>
      </c>
      <c r="H23">
        <v>-75.581211</v>
      </c>
      <c r="I23">
        <v>2</v>
      </c>
    </row>
    <row r="24" spans="1:9">
      <c r="A24">
        <v>1.1589</v>
      </c>
      <c r="B24" t="s">
        <v>70</v>
      </c>
      <c r="C24" t="s">
        <v>505</v>
      </c>
      <c r="D24" t="s">
        <v>79</v>
      </c>
      <c r="E24" t="s">
        <v>83</v>
      </c>
      <c r="F24" t="s">
        <v>88</v>
      </c>
      <c r="G24">
        <v>6.244203</v>
      </c>
      <c r="H24">
        <v>-75.581211</v>
      </c>
      <c r="I24">
        <v>3</v>
      </c>
    </row>
    <row r="25" spans="1:9">
      <c r="A25">
        <v>1.9109</v>
      </c>
      <c r="B25" t="s">
        <v>70</v>
      </c>
      <c r="C25" t="s">
        <v>506</v>
      </c>
      <c r="D25" t="s">
        <v>486</v>
      </c>
      <c r="E25" t="s">
        <v>487</v>
      </c>
      <c r="F25" t="s">
        <v>27</v>
      </c>
      <c r="G25">
        <v>6.244203</v>
      </c>
      <c r="H25">
        <v>-75.581211</v>
      </c>
      <c r="I25">
        <v>3</v>
      </c>
    </row>
    <row r="26" spans="1:9">
      <c r="A26">
        <v>2.3769</v>
      </c>
      <c r="B26" t="s">
        <v>70</v>
      </c>
      <c r="C26" t="s">
        <v>507</v>
      </c>
      <c r="D26" t="s">
        <v>483</v>
      </c>
      <c r="E26" t="s">
        <v>484</v>
      </c>
      <c r="F26" t="s">
        <v>88</v>
      </c>
      <c r="G26">
        <v>6.244203</v>
      </c>
      <c r="H26">
        <v>-75.581211</v>
      </c>
      <c r="I26">
        <v>3</v>
      </c>
    </row>
    <row r="27" spans="1:9">
      <c r="A27">
        <v>1.0244</v>
      </c>
      <c r="B27" t="s">
        <v>70</v>
      </c>
      <c r="C27" t="s">
        <v>504</v>
      </c>
      <c r="D27" t="s">
        <v>79</v>
      </c>
      <c r="E27" t="s">
        <v>83</v>
      </c>
      <c r="F27" t="s">
        <v>88</v>
      </c>
      <c r="G27">
        <v>6.244203</v>
      </c>
      <c r="H27">
        <v>-75.581211</v>
      </c>
      <c r="I27">
        <v>3</v>
      </c>
    </row>
    <row r="28" spans="1:9">
      <c r="A28">
        <v>1.4022</v>
      </c>
      <c r="B28" t="s">
        <v>70</v>
      </c>
      <c r="C28" t="s">
        <v>508</v>
      </c>
      <c r="D28" t="s">
        <v>483</v>
      </c>
      <c r="E28" t="s">
        <v>484</v>
      </c>
      <c r="F28" t="s">
        <v>88</v>
      </c>
      <c r="G28">
        <v>6.244203</v>
      </c>
      <c r="H28">
        <v>-75.581211</v>
      </c>
      <c r="I28">
        <v>3</v>
      </c>
    </row>
    <row r="29" spans="1:9">
      <c r="A29">
        <v>0.3322</v>
      </c>
      <c r="B29" t="s">
        <v>70</v>
      </c>
      <c r="C29" t="s">
        <v>509</v>
      </c>
      <c r="D29" t="s">
        <v>483</v>
      </c>
      <c r="E29" t="s">
        <v>484</v>
      </c>
      <c r="F29" t="s">
        <v>88</v>
      </c>
      <c r="G29">
        <v>6.244203</v>
      </c>
      <c r="H29">
        <v>-75.581211</v>
      </c>
      <c r="I29">
        <v>1</v>
      </c>
    </row>
    <row r="30" spans="1:9">
      <c r="A30">
        <v>0.7331</v>
      </c>
      <c r="B30" t="s">
        <v>70</v>
      </c>
      <c r="C30" t="s">
        <v>510</v>
      </c>
      <c r="D30" t="s">
        <v>79</v>
      </c>
      <c r="E30" t="s">
        <v>83</v>
      </c>
      <c r="F30" t="s">
        <v>88</v>
      </c>
      <c r="G30">
        <v>6.244203</v>
      </c>
      <c r="H30">
        <v>-75.581211</v>
      </c>
      <c r="I30">
        <v>2</v>
      </c>
    </row>
    <row r="31" spans="1:9">
      <c r="A31">
        <v>1.1247</v>
      </c>
      <c r="B31" t="s">
        <v>70</v>
      </c>
      <c r="C31" t="s">
        <v>511</v>
      </c>
      <c r="D31" t="s">
        <v>79</v>
      </c>
      <c r="E31" t="s">
        <v>83</v>
      </c>
      <c r="F31" t="s">
        <v>88</v>
      </c>
      <c r="G31">
        <v>6.244203</v>
      </c>
      <c r="H31">
        <v>-75.581211</v>
      </c>
      <c r="I31">
        <v>3</v>
      </c>
    </row>
    <row r="32" spans="1:9">
      <c r="A32">
        <v>1.5343</v>
      </c>
      <c r="B32" t="s">
        <v>70</v>
      </c>
      <c r="C32" t="s">
        <v>512</v>
      </c>
      <c r="D32" t="s">
        <v>79</v>
      </c>
      <c r="E32" t="s">
        <v>83</v>
      </c>
      <c r="F32" t="s">
        <v>88</v>
      </c>
      <c r="G32">
        <v>6.244203</v>
      </c>
      <c r="H32">
        <v>-75.581211</v>
      </c>
      <c r="I32">
        <v>3</v>
      </c>
    </row>
    <row r="33" spans="1:9">
      <c r="A33">
        <v>0.4105</v>
      </c>
      <c r="B33" t="s">
        <v>70</v>
      </c>
      <c r="C33" t="s">
        <v>513</v>
      </c>
      <c r="D33" t="s">
        <v>79</v>
      </c>
      <c r="E33" t="s">
        <v>83</v>
      </c>
      <c r="F33" t="s">
        <v>88</v>
      </c>
      <c r="G33">
        <v>6.244203</v>
      </c>
      <c r="H33">
        <v>-75.581211</v>
      </c>
      <c r="I3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Parametros</vt:lpstr>
      <vt:lpstr>Estructura_hojas</vt:lpstr>
      <vt:lpstr>Diccionario_datos</vt:lpstr>
      <vt:lpstr>Tabla_lecturas_seccion5</vt:lpstr>
      <vt:lpstr>Calculos_almacenamiento</vt:lpstr>
      <vt:lpstr>Limpieza_almacenamiento</vt:lpstr>
      <vt:lpstr>Clasificacion_ppm</vt:lpstr>
      <vt:lpstr>Dashboard_diseno</vt:lpstr>
      <vt:lpstr>Gobierno_datos</vt:lpstr>
      <vt:lpstr>Elementos_proyecto</vt:lpstr>
      <vt:lpstr>Checklist_proyecto</vt:lpstr>
      <vt:lpstr>Scripts_SQL</vt:lpstr>
      <vt:lpstr>lecturas_ejemplo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Salas</cp:lastModifiedBy>
  <dcterms:created xsi:type="dcterms:W3CDTF">2026-05-23T14:48:00Z</dcterms:created>
  <dcterms:modified xsi:type="dcterms:W3CDTF">2026-05-24T19:14:30Z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B6B493E6B8EE43659B6B51251F6DF655_12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